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autoCompressPictures="0" defaultThemeVersion="166925"/>
  <mc:AlternateContent xmlns:mc="http://schemas.openxmlformats.org/markup-compatibility/2006">
    <mc:Choice Requires="x15">
      <x15ac:absPath xmlns:x15ac="http://schemas.microsoft.com/office/spreadsheetml/2010/11/ac" url="https://doellnl-my.sharepoint.com/personal/myers79_llnl_gov/Documents/Documents/Transport/FWP/FWP Transport Model Development/"/>
    </mc:Choice>
  </mc:AlternateContent>
  <xr:revisionPtr revIDLastSave="22601" documentId="8_{7B754557-FA34-43EC-AB41-FCB237724003}" xr6:coauthVersionLast="47" xr6:coauthVersionMax="47" xr10:uidLastSave="{E82181D7-54A7-4FC0-815E-D91CA1602392}"/>
  <bookViews>
    <workbookView xWindow="-110" yWindow="-110" windowWidth="19420" windowHeight="10420" tabRatio="831" activeTab="1" xr2:uid="{AB9E3271-1053-40F2-B110-0AD86B64112C}"/>
  </bookViews>
  <sheets>
    <sheet name="ReadMe" sheetId="87" r:id="rId1"/>
    <sheet name="User Interface" sheetId="86" r:id="rId2"/>
    <sheet name="Calculations" sheetId="5" r:id="rId3"/>
    <sheet name="FINEX" sheetId="34" r:id="rId4"/>
    <sheet name="Options" sheetId="11" r:id="rId5"/>
  </sheets>
  <externalReferences>
    <externalReference r:id="rId6"/>
    <externalReference r:id="rId7"/>
    <externalReference r:id="rId8"/>
    <externalReference r:id="rId9"/>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769</definedName>
    <definedName name="_AtRisk_SimSetting_ReportOptionReportsFileType" hidden="1">1</definedName>
    <definedName name="_AtRisk_SimSetting_ReportOptionSelectiveQR" hidden="1">FALSE</definedName>
    <definedName name="_AtRisk_SimSetting_ReportsList" hidden="1">769</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1" hidden="1">'User Interface'!$C$24:$C$30</definedName>
    <definedName name="_xlchart.v1.0" hidden="1">'User Interface'!$D$13:$D$34</definedName>
    <definedName name="_xlchart.v1.1" hidden="1">'User Interface'!$F$13:$F$34</definedName>
    <definedName name="AboveSeal_Depth">'[1]Geo-Activity Interaction'!$E$61</definedName>
    <definedName name="AboveSeal_Depth_Units">'[1]Geo-Activity Interaction'!$F$61</definedName>
    <definedName name="AS2DocOpenMode" hidden="1">"AS2DocumentEdit"</definedName>
    <definedName name="ChangeCell">FINEX!#REF!</definedName>
    <definedName name="d360.">'[2]Geol Sal'!$D$98</definedName>
    <definedName name="Distance">FINEX!#REF!</definedName>
    <definedName name="Engineer_Rate">[1]Activity_Inputs!$E$10</definedName>
    <definedName name="Engineer_Rate_Units">[1]Activity_Inputs!$F$10</definedName>
    <definedName name="Eno_TM">'[3]1997  Table 1a Modified'!#REF!</definedName>
    <definedName name="Eno_Tons">'[3]1997  Table 1a Modified'!#REF!</definedName>
    <definedName name="Field_Rate">[1]Activity_Inputs!$E$12</definedName>
    <definedName name="Field_Rate_Units">[1]Activity_Inputs!$F$12</definedName>
    <definedName name="Geologist_Rate">[1]Activity_Inputs!$E$9</definedName>
    <definedName name="Geologist_Rate_Units">[1]Activity_Inputs!$F$9</definedName>
    <definedName name="Groundwater_Depth">'[1]Geo-Activity Interaction'!$E$62</definedName>
    <definedName name="Groundwater_Depth_Units">'[1]Geo-Activity Interaction'!$F$62</definedName>
    <definedName name="Injection_Depth">'[1]Geo-Activity Interaction'!$E$58</definedName>
    <definedName name="Injection_Depth_Units">'[1]Geo-Activity Interaction'!$F$58</definedName>
    <definedName name="InReservoir_Depth">'[1]Geo-Activity Interaction'!$E$60</definedName>
    <definedName name="InReservoir_Depth_Units">'[1]Geo-Activity Interaction'!$F$60</definedName>
    <definedName name="IRR">FINEX!$C$12</definedName>
    <definedName name="L_PL">'[4]Eng Mod'!$D$10</definedName>
    <definedName name="Landman_Rate">[1]Activity_Inputs!$E$11</definedName>
    <definedName name="Landman_Rate_Units">[1]Activity_Inputs!$F$11</definedName>
    <definedName name="Len_PL_U">'[4]Eng Mod'!$E$10</definedName>
    <definedName name="n_pumps">'[4]Eng Mod'!$D$16</definedName>
    <definedName name="P_in">'[4]Eng Mod'!$D$11</definedName>
    <definedName name="P_out">'[4]Eng Mod'!$D$12</definedName>
    <definedName name="PL_d">'[4]Eng Mod'!$G$48</definedName>
    <definedName name="Pr_units">'[4]Eng Mod'!$E$11</definedName>
    <definedName name="Price">FINEX!$C$5</definedName>
    <definedName name="_xlnm.Print_Area" localSheetId="3">FINEX!$A$3:$U$159</definedName>
    <definedName name="_xlnm.Print_Titles" localSheetId="3">FINEX!$B:$B</definedName>
    <definedName name="pump_power">'[4]Eng Mod'!$D$67</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FALSE</definedName>
    <definedName name="SetCell">FINEX!#REF!</definedName>
    <definedName name="Size">FINEX!#REF!</definedName>
    <definedName name="solver_adj" localSheetId="2" hidden="1">Calculations!$B$781</definedName>
    <definedName name="solver_adj" localSheetId="3" hidden="1">FINEX!$C$5</definedName>
    <definedName name="solver_cvg" localSheetId="2" hidden="1">0.0001</definedName>
    <definedName name="solver_cvg" localSheetId="3" hidden="1">0.0001</definedName>
    <definedName name="solver_drv" localSheetId="2" hidden="1">1</definedName>
    <definedName name="solver_drv" localSheetId="3" hidden="1">1</definedName>
    <definedName name="solver_eng" localSheetId="2" hidden="1">1</definedName>
    <definedName name="solver_eng" localSheetId="3" hidden="1">1</definedName>
    <definedName name="solver_eng" localSheetId="1" hidden="1">1</definedName>
    <definedName name="solver_est" localSheetId="2" hidden="1">1</definedName>
    <definedName name="solver_est" localSheetId="3" hidden="1">1</definedName>
    <definedName name="solver_itr" localSheetId="2" hidden="1">2147483647</definedName>
    <definedName name="solver_itr" localSheetId="3" hidden="1">2147483647</definedName>
    <definedName name="solver_lhs1" localSheetId="2" hidden="1">Calculations!$B$781</definedName>
    <definedName name="solver_lhs1" localSheetId="3" hidden="1">FINEX!$C$12</definedName>
    <definedName name="solver_lhs2" localSheetId="2" hidden="1">Calculations!$B$781</definedName>
    <definedName name="solver_lhs2" localSheetId="3" hidden="1">FINEX!$C$5</definedName>
    <definedName name="solver_lhs3" localSheetId="2" hidden="1">Calculations!$D$781</definedName>
    <definedName name="solver_lhs4" localSheetId="2" hidden="1">Calculations!$D$781</definedName>
    <definedName name="solver_lhs5" localSheetId="2" hidden="1">Calculations!$D$781</definedName>
    <definedName name="solver_lhs6" localSheetId="2" hidden="1">Calculations!$D$781</definedName>
    <definedName name="solver_lhs7" localSheetId="2" hidden="1">Calculations!$D$781</definedName>
    <definedName name="solver_lhs8" localSheetId="2" hidden="1">Calculations!$D$781</definedName>
    <definedName name="solver_lin" localSheetId="3" hidden="1">2</definedName>
    <definedName name="solver_mip" localSheetId="2" hidden="1">2147483647</definedName>
    <definedName name="solver_mip" localSheetId="3" hidden="1">2147483647</definedName>
    <definedName name="solver_mni" localSheetId="2" hidden="1">30</definedName>
    <definedName name="solver_mni" localSheetId="3" hidden="1">30</definedName>
    <definedName name="solver_mrt" localSheetId="2" hidden="1">0.075</definedName>
    <definedName name="solver_mrt" localSheetId="3" hidden="1">0.075</definedName>
    <definedName name="solver_msl" localSheetId="2" hidden="1">2</definedName>
    <definedName name="solver_msl" localSheetId="3" hidden="1">2</definedName>
    <definedName name="solver_neg" localSheetId="2" hidden="1">1</definedName>
    <definedName name="solver_neg" localSheetId="3" hidden="1">1</definedName>
    <definedName name="solver_neg" localSheetId="1" hidden="1">1</definedName>
    <definedName name="solver_nod" localSheetId="2" hidden="1">2147483647</definedName>
    <definedName name="solver_nod" localSheetId="3" hidden="1">2147483647</definedName>
    <definedName name="solver_num" localSheetId="2" hidden="1">2</definedName>
    <definedName name="solver_num" localSheetId="3" hidden="1">1</definedName>
    <definedName name="solver_num" localSheetId="1" hidden="1">0</definedName>
    <definedName name="solver_nwt" localSheetId="2" hidden="1">1</definedName>
    <definedName name="solver_nwt" localSheetId="3" hidden="1">1</definedName>
    <definedName name="solver_opt" localSheetId="2" hidden="1">Calculations!$B$780</definedName>
    <definedName name="solver_opt" localSheetId="3" hidden="1">FINEX!$C$7</definedName>
    <definedName name="solver_pre" localSheetId="2" hidden="1">0.000001</definedName>
    <definedName name="solver_pre" localSheetId="3" hidden="1">0.000001</definedName>
    <definedName name="solver_rbv" localSheetId="2" hidden="1">1</definedName>
    <definedName name="solver_rbv" localSheetId="3" hidden="1">1</definedName>
    <definedName name="solver_rel1" localSheetId="2" hidden="1">1</definedName>
    <definedName name="solver_rel1" localSheetId="3" hidden="1">3</definedName>
    <definedName name="solver_rel2" localSheetId="2" hidden="1">3</definedName>
    <definedName name="solver_rel2" localSheetId="3" hidden="1">3</definedName>
    <definedName name="solver_rel3" localSheetId="2" hidden="1">3</definedName>
    <definedName name="solver_rel4" localSheetId="2" hidden="1">3</definedName>
    <definedName name="solver_rel5" localSheetId="2" hidden="1">3</definedName>
    <definedName name="solver_rel6" localSheetId="2" hidden="1">3</definedName>
    <definedName name="solver_rel7" localSheetId="2" hidden="1">3</definedName>
    <definedName name="solver_rel8" localSheetId="2" hidden="1">3</definedName>
    <definedName name="solver_rhs1" localSheetId="2" hidden="1">Calculations!$B$760</definedName>
    <definedName name="solver_rhs1" localSheetId="3" hidden="1">FINEX!$C$13</definedName>
    <definedName name="solver_rhs2" localSheetId="2" hidden="1">Calculations!$B$762</definedName>
    <definedName name="solver_rhs2" localSheetId="3" hidden="1">FINEX!$C$6</definedName>
    <definedName name="solver_rhs3" localSheetId="2" hidden="1">Calculations!$B$762</definedName>
    <definedName name="solver_rhs4" localSheetId="2" hidden="1">Calculations!$B$762</definedName>
    <definedName name="solver_rhs5" localSheetId="2" hidden="1">Calculations!$B$762</definedName>
    <definedName name="solver_rhs6" localSheetId="2" hidden="1">Calculations!$B$762</definedName>
    <definedName name="solver_rhs7" localSheetId="2" hidden="1">Calculations!$B$762</definedName>
    <definedName name="solver_rhs8" localSheetId="2" hidden="1">Calculations!$B$762</definedName>
    <definedName name="solver_rlx" localSheetId="2" hidden="1">2</definedName>
    <definedName name="solver_rlx" localSheetId="3" hidden="1">1</definedName>
    <definedName name="solver_rsd" localSheetId="2" hidden="1">0</definedName>
    <definedName name="solver_rsd" localSheetId="3" hidden="1">0</definedName>
    <definedName name="solver_scl" localSheetId="2" hidden="1">1</definedName>
    <definedName name="solver_scl" localSheetId="3" hidden="1">2</definedName>
    <definedName name="solver_sho" localSheetId="2" hidden="1">2</definedName>
    <definedName name="solver_sho" localSheetId="3" hidden="1">2</definedName>
    <definedName name="solver_ssz" localSheetId="2" hidden="1">100</definedName>
    <definedName name="solver_ssz" localSheetId="3" hidden="1">100</definedName>
    <definedName name="solver_tim" localSheetId="2" hidden="1">2147483647</definedName>
    <definedName name="solver_tim" localSheetId="3" hidden="1">2147483647</definedName>
    <definedName name="solver_tol" localSheetId="2" hidden="1">0.01</definedName>
    <definedName name="solver_tol" localSheetId="3" hidden="1">0.01</definedName>
    <definedName name="solver_typ" localSheetId="2" hidden="1">3</definedName>
    <definedName name="solver_typ" localSheetId="3" hidden="1">2</definedName>
    <definedName name="solver_typ" localSheetId="1" hidden="1">1</definedName>
    <definedName name="solver_val" localSheetId="2" hidden="1">0</definedName>
    <definedName name="solver_val" localSheetId="3" hidden="1">0</definedName>
    <definedName name="solver_val" localSheetId="1" hidden="1">0</definedName>
    <definedName name="solver_ver" localSheetId="2" hidden="1">3</definedName>
    <definedName name="solver_ver" localSheetId="3" hidden="1">3</definedName>
    <definedName name="solver_ver" localSheetId="1" hidden="1">3</definedName>
    <definedName name="Strat_Depth">'[1]Geo-Activity Interaction'!$E$57</definedName>
    <definedName name="Strat_Depth_Units">'[1]Geo-Activity Interaction'!$F$57</definedName>
    <definedName name="Sum_T2">'[3]1997  Table 1a Modified'!#REF!</definedName>
    <definedName name="Sum_TTM">'[3]1997  Table 1a Modified'!#REF!</definedName>
    <definedName name="T_Pipeline">'[4]Eng Mod'!$D$7</definedName>
    <definedName name="T_Pipeline_U">'[4]Eng Mod'!$E$7</definedName>
    <definedName name="Target">FINEX!$C$13</definedName>
    <definedName name="VadoseZone_Depth">'[1]Geo-Activity Interaction'!$E$63</definedName>
    <definedName name="VadoseZone_Depth_Units">'[1]Geo-Activity Interaction'!$F$63</definedName>
    <definedName name="WaterDisposal_Depth">'[1]Geo-Activity Interaction'!$E$66</definedName>
    <definedName name="WaterDisposal_Depth_Units">'[1]Geo-Activity Interaction'!$F$66</definedName>
    <definedName name="WaterProduction_Depth">'[1]Geo-Activity Interaction'!$E$65</definedName>
    <definedName name="WaterProduction_Depth_Units">'[1]Geo-Activity Interaction'!$F$65</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986" i="5" l="1"/>
  <c r="B987" i="5"/>
  <c r="C337" i="5"/>
  <c r="B337" i="5"/>
  <c r="H277" i="5" l="1"/>
  <c r="H279" i="5"/>
  <c r="H276" i="5"/>
  <c r="E930" i="5"/>
  <c r="E956" i="5"/>
  <c r="E957" i="5" s="1"/>
  <c r="E952" i="5"/>
  <c r="E943" i="5"/>
  <c r="D943" i="5"/>
  <c r="D952" i="5"/>
  <c r="D956" i="5" s="1"/>
  <c r="E936" i="5"/>
  <c r="D936" i="5"/>
  <c r="E934" i="5"/>
  <c r="E938" i="5" s="1"/>
  <c r="D934" i="5"/>
  <c r="C170" i="5"/>
  <c r="C169" i="5"/>
  <c r="C171" i="5"/>
  <c r="C503" i="5"/>
  <c r="B81" i="5"/>
  <c r="B714" i="5"/>
  <c r="B713" i="5"/>
  <c r="B647" i="5"/>
  <c r="B648" i="5" s="1"/>
  <c r="C934" i="5"/>
  <c r="B934" i="5"/>
  <c r="BN180" i="5"/>
  <c r="S222" i="5"/>
  <c r="B843" i="5"/>
  <c r="B880" i="5"/>
  <c r="E1104" i="5"/>
  <c r="E1106" i="5"/>
  <c r="A734" i="5"/>
  <c r="A735" i="5"/>
  <c r="A736" i="5"/>
  <c r="A737" i="5"/>
  <c r="A738" i="5"/>
  <c r="A739" i="5"/>
  <c r="A740" i="5"/>
  <c r="A741" i="5"/>
  <c r="A742" i="5"/>
  <c r="A732" i="5"/>
  <c r="A733" i="5"/>
  <c r="A729" i="5"/>
  <c r="A730" i="5"/>
  <c r="A731" i="5"/>
  <c r="A720" i="5"/>
  <c r="A721" i="5"/>
  <c r="A722" i="5"/>
  <c r="A723" i="5"/>
  <c r="A724" i="5"/>
  <c r="A725" i="5"/>
  <c r="A727" i="5"/>
  <c r="A728" i="5"/>
  <c r="A717" i="5"/>
  <c r="A718" i="5"/>
  <c r="A719" i="5"/>
  <c r="A711" i="5"/>
  <c r="A712" i="5"/>
  <c r="A713" i="5"/>
  <c r="A714" i="5"/>
  <c r="A710" i="5"/>
  <c r="D1106" i="5"/>
  <c r="D1104" i="5"/>
  <c r="D957" i="5" l="1"/>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A439" i="5"/>
  <c r="D439" i="5" s="1"/>
  <c r="A392" i="5"/>
  <c r="B783" i="5" l="1"/>
  <c r="E6" i="86"/>
  <c r="B246" i="5"/>
  <c r="S239" i="5" l="1"/>
  <c r="R239" i="5"/>
  <c r="S182" i="5"/>
  <c r="S183" i="5"/>
  <c r="S184" i="5"/>
  <c r="S185" i="5"/>
  <c r="S186" i="5"/>
  <c r="S187" i="5"/>
  <c r="S188" i="5"/>
  <c r="S189" i="5"/>
  <c r="S191" i="5"/>
  <c r="S192" i="5"/>
  <c r="S193" i="5"/>
  <c r="S194" i="5"/>
  <c r="S195" i="5"/>
  <c r="S196" i="5"/>
  <c r="S197" i="5"/>
  <c r="S198" i="5"/>
  <c r="S199" i="5"/>
  <c r="S200" i="5"/>
  <c r="S201" i="5"/>
  <c r="S202" i="5"/>
  <c r="S203" i="5"/>
  <c r="S204" i="5"/>
  <c r="S205" i="5"/>
  <c r="S206" i="5"/>
  <c r="S207" i="5"/>
  <c r="S208" i="5"/>
  <c r="S209" i="5"/>
  <c r="S210" i="5"/>
  <c r="S211" i="5"/>
  <c r="S212" i="5"/>
  <c r="S213" i="5"/>
  <c r="S214" i="5"/>
  <c r="S215" i="5"/>
  <c r="S216" i="5"/>
  <c r="S217" i="5"/>
  <c r="S218" i="5"/>
  <c r="S219" i="5"/>
  <c r="S220" i="5"/>
  <c r="S221" i="5"/>
  <c r="S223" i="5"/>
  <c r="S224" i="5"/>
  <c r="S225" i="5"/>
  <c r="S226" i="5"/>
  <c r="S227" i="5"/>
  <c r="S228" i="5"/>
  <c r="S229" i="5"/>
  <c r="S180" i="5"/>
  <c r="R182" i="5"/>
  <c r="R183" i="5"/>
  <c r="R184" i="5"/>
  <c r="R185" i="5"/>
  <c r="R186" i="5"/>
  <c r="R187" i="5"/>
  <c r="R188" i="5"/>
  <c r="R189" i="5"/>
  <c r="R191" i="5"/>
  <c r="R192" i="5"/>
  <c r="R193" i="5"/>
  <c r="R194" i="5"/>
  <c r="R195" i="5"/>
  <c r="R196" i="5"/>
  <c r="R197" i="5"/>
  <c r="R198" i="5"/>
  <c r="R199" i="5"/>
  <c r="R200" i="5"/>
  <c r="R201" i="5"/>
  <c r="R202" i="5"/>
  <c r="R203" i="5"/>
  <c r="R204" i="5"/>
  <c r="R205" i="5"/>
  <c r="R206" i="5"/>
  <c r="R207" i="5"/>
  <c r="R208" i="5"/>
  <c r="R209" i="5"/>
  <c r="R210" i="5"/>
  <c r="R211" i="5"/>
  <c r="R212" i="5"/>
  <c r="R213" i="5"/>
  <c r="R214" i="5"/>
  <c r="R215" i="5"/>
  <c r="R216" i="5"/>
  <c r="R217" i="5"/>
  <c r="R218" i="5"/>
  <c r="R219" i="5"/>
  <c r="R220" i="5"/>
  <c r="R221" i="5"/>
  <c r="R222" i="5"/>
  <c r="R223" i="5"/>
  <c r="R224" i="5"/>
  <c r="R225" i="5"/>
  <c r="R226" i="5"/>
  <c r="R227" i="5"/>
  <c r="R228" i="5"/>
  <c r="R229" i="5"/>
  <c r="R180" i="5"/>
  <c r="S233" i="5" l="1" a="1"/>
  <c r="S233" i="5" s="1"/>
  <c r="S234" i="5" a="1"/>
  <c r="S234" i="5" s="1"/>
  <c r="S235" i="5" a="1"/>
  <c r="S235" i="5" s="1"/>
  <c r="S236" i="5" a="1"/>
  <c r="S236" i="5" s="1"/>
  <c r="S242" i="5" s="1"/>
  <c r="S232" i="5" a="1"/>
  <c r="S232" i="5" s="1"/>
  <c r="R234" i="5" a="1"/>
  <c r="R234" i="5" s="1"/>
  <c r="R232" i="5" a="1"/>
  <c r="R232" i="5" s="1"/>
  <c r="R236" i="5" a="1"/>
  <c r="R236" i="5" s="1"/>
  <c r="R233" i="5" a="1"/>
  <c r="R233" i="5" s="1"/>
  <c r="R235" i="5" a="1"/>
  <c r="R235" i="5" s="1"/>
  <c r="C27" i="34"/>
  <c r="C26" i="34"/>
  <c r="C31" i="34"/>
  <c r="C28" i="34"/>
  <c r="Y239" i="5" a="1"/>
  <c r="Y239" i="5" s="1"/>
  <c r="D239" i="5"/>
  <c r="D242" i="5" s="1"/>
  <c r="C234" i="5"/>
  <c r="C235" i="5"/>
  <c r="C236" i="5"/>
  <c r="C233" i="5"/>
  <c r="C232" i="5"/>
  <c r="B265" i="5"/>
  <c r="C261" i="5"/>
  <c r="B101" i="5"/>
  <c r="B8" i="5"/>
  <c r="B261" i="5" s="1"/>
  <c r="B262" i="5" s="1"/>
  <c r="C14" i="11"/>
  <c r="C23" i="11" s="1"/>
  <c r="C32" i="11" s="1"/>
  <c r="C15" i="11"/>
  <c r="C24" i="11" s="1"/>
  <c r="C33" i="11" s="1"/>
  <c r="C16" i="11"/>
  <c r="C25" i="11" s="1"/>
  <c r="C34" i="11" s="1"/>
  <c r="C17" i="11"/>
  <c r="C26" i="11" s="1"/>
  <c r="C35" i="11" s="1"/>
  <c r="C18" i="11"/>
  <c r="C27" i="11" s="1"/>
  <c r="C36" i="11" s="1"/>
  <c r="C19" i="11"/>
  <c r="C28" i="11" s="1"/>
  <c r="C20" i="11"/>
  <c r="C29" i="11" s="1"/>
  <c r="C21" i="11"/>
  <c r="C30" i="11" s="1"/>
  <c r="C22" i="11"/>
  <c r="C31" i="11" s="1"/>
  <c r="R242" i="5" l="1"/>
  <c r="B263" i="5"/>
  <c r="B266" i="5" s="1"/>
  <c r="D4" i="86"/>
  <c r="C242" i="5"/>
  <c r="B83" i="5" l="1"/>
  <c r="B833" i="5"/>
  <c r="B522" i="5"/>
  <c r="F525" i="5" s="1"/>
  <c r="B835" i="5"/>
  <c r="CH218" i="5"/>
  <c r="G528" i="5" l="1"/>
  <c r="G541" i="5" s="1"/>
  <c r="B908" i="5"/>
  <c r="D34" i="86"/>
  <c r="D32" i="86"/>
  <c r="D23" i="86"/>
  <c r="D24" i="86"/>
  <c r="D25" i="86"/>
  <c r="D26" i="86"/>
  <c r="D27" i="86"/>
  <c r="D28" i="86"/>
  <c r="D29" i="86"/>
  <c r="D30" i="86"/>
  <c r="D22" i="86"/>
  <c r="D21" i="86"/>
  <c r="D14" i="86"/>
  <c r="D15" i="86"/>
  <c r="D16" i="86"/>
  <c r="D17" i="86"/>
  <c r="D18" i="86"/>
  <c r="D19" i="86"/>
  <c r="D20" i="86"/>
  <c r="D13" i="86"/>
  <c r="B71" i="34"/>
  <c r="B106" i="34" s="1"/>
  <c r="B72" i="34"/>
  <c r="B107" i="34" s="1"/>
  <c r="B67" i="34"/>
  <c r="B102" i="34" s="1"/>
  <c r="B68" i="34"/>
  <c r="B103" i="34" s="1"/>
  <c r="C37" i="34"/>
  <c r="B11" i="5"/>
  <c r="B12" i="5"/>
  <c r="B66" i="34"/>
  <c r="B101" i="34" s="1"/>
  <c r="B69" i="34"/>
  <c r="B70" i="34"/>
  <c r="B868" i="5"/>
  <c r="B870" i="5" l="1"/>
  <c r="B128" i="5"/>
  <c r="B146" i="5" s="1"/>
  <c r="B248" i="5"/>
  <c r="B810" i="5"/>
  <c r="B854" i="5"/>
  <c r="B855" i="5" s="1"/>
  <c r="D1111" i="5"/>
  <c r="E1111" i="5"/>
  <c r="E1109" i="5"/>
  <c r="D1109" i="5"/>
  <c r="D1107" i="5"/>
  <c r="D1105" i="5"/>
  <c r="B1107" i="5"/>
  <c r="B1104" i="5"/>
  <c r="D938" i="5"/>
  <c r="C952" i="5"/>
  <c r="C956" i="5" s="1"/>
  <c r="C943" i="5"/>
  <c r="C936" i="5"/>
  <c r="C938" i="5"/>
  <c r="CF181" i="5"/>
  <c r="CF190" i="5"/>
  <c r="CF218" i="5"/>
  <c r="G525" i="5"/>
  <c r="B651" i="5"/>
  <c r="B652" i="5" s="1"/>
  <c r="B155" i="5" l="1"/>
  <c r="B270" i="5"/>
  <c r="B152" i="5"/>
  <c r="A341" i="5"/>
  <c r="A270" i="5"/>
  <c r="E1107" i="5"/>
  <c r="C1098" i="5"/>
  <c r="C957" i="5"/>
  <c r="B525" i="5" l="1"/>
  <c r="B538" i="5" s="1"/>
  <c r="C278" i="5"/>
  <c r="V239" i="5" l="1"/>
  <c r="W233" i="5"/>
  <c r="W234" i="5"/>
  <c r="W235" i="5"/>
  <c r="W236" i="5"/>
  <c r="V233" i="5"/>
  <c r="V234" i="5"/>
  <c r="V235" i="5"/>
  <c r="V236" i="5"/>
  <c r="W232" i="5"/>
  <c r="V232" i="5"/>
  <c r="U232" i="5" a="1"/>
  <c r="U232" i="5" s="1"/>
  <c r="CH239" i="5"/>
  <c r="CG239" i="5"/>
  <c r="CH181" i="5"/>
  <c r="CH190" i="5"/>
  <c r="CG181" i="5"/>
  <c r="CG190" i="5"/>
  <c r="CG218" i="5"/>
  <c r="BY176" i="5"/>
  <c r="BZ176" i="5"/>
  <c r="CA176" i="5"/>
  <c r="CB176" i="5"/>
  <c r="CC176" i="5"/>
  <c r="CD176" i="5"/>
  <c r="BX176" i="5"/>
  <c r="H903" i="5"/>
  <c r="CA175" i="5" s="1"/>
  <c r="H901" i="5"/>
  <c r="BY175" i="5" s="1"/>
  <c r="H902" i="5"/>
  <c r="BZ175" i="5" s="1"/>
  <c r="H904" i="5"/>
  <c r="CB175" i="5" s="1"/>
  <c r="H905" i="5"/>
  <c r="CC175" i="5" s="1"/>
  <c r="H906" i="5"/>
  <c r="CD175" i="5" s="1"/>
  <c r="H900" i="5"/>
  <c r="BX175" i="5" s="1"/>
  <c r="CG182" i="5" s="1"/>
  <c r="CH186" i="5" l="1"/>
  <c r="CH208" i="5"/>
  <c r="CG186" i="5"/>
  <c r="CG180" i="5"/>
  <c r="CG208" i="5"/>
  <c r="W242" i="5"/>
  <c r="CH183" i="5"/>
  <c r="CH180" i="5"/>
  <c r="CG189" i="5"/>
  <c r="CH214" i="5"/>
  <c r="CH182" i="5"/>
  <c r="CG212" i="5"/>
  <c r="CG211" i="5"/>
  <c r="CG203" i="5"/>
  <c r="CG195" i="5"/>
  <c r="CG187" i="5"/>
  <c r="CH229" i="5"/>
  <c r="CH221" i="5"/>
  <c r="CH213" i="5"/>
  <c r="CH205" i="5"/>
  <c r="CH197" i="5"/>
  <c r="CH189" i="5"/>
  <c r="CG220" i="5"/>
  <c r="CG204" i="5"/>
  <c r="CH222" i="5"/>
  <c r="CG219" i="5"/>
  <c r="CG226" i="5"/>
  <c r="CG202" i="5"/>
  <c r="CH228" i="5"/>
  <c r="CH212" i="5"/>
  <c r="CH188" i="5"/>
  <c r="CG209" i="5"/>
  <c r="CG193" i="5"/>
  <c r="CH227" i="5"/>
  <c r="CH211" i="5"/>
  <c r="CH195" i="5"/>
  <c r="CG224" i="5"/>
  <c r="CG200" i="5"/>
  <c r="CG184" i="5"/>
  <c r="CH210" i="5"/>
  <c r="CH202" i="5"/>
  <c r="CG223" i="5"/>
  <c r="CG215" i="5"/>
  <c r="CG207" i="5"/>
  <c r="CG199" i="5"/>
  <c r="CG191" i="5"/>
  <c r="CG183" i="5"/>
  <c r="CH225" i="5"/>
  <c r="CH217" i="5"/>
  <c r="CH209" i="5"/>
  <c r="CH201" i="5"/>
  <c r="CH193" i="5"/>
  <c r="CH185" i="5"/>
  <c r="CG228" i="5"/>
  <c r="CG188" i="5"/>
  <c r="CH206" i="5"/>
  <c r="CG227" i="5"/>
  <c r="CG217" i="5"/>
  <c r="CG201" i="5"/>
  <c r="CH219" i="5"/>
  <c r="CH203" i="5"/>
  <c r="CH187" i="5"/>
  <c r="CG216" i="5"/>
  <c r="CG192" i="5"/>
  <c r="CH226" i="5"/>
  <c r="CH194" i="5"/>
  <c r="CG222" i="5"/>
  <c r="CG214" i="5"/>
  <c r="CG206" i="5"/>
  <c r="CG198" i="5"/>
  <c r="CH224" i="5"/>
  <c r="CH216" i="5"/>
  <c r="CH200" i="5"/>
  <c r="CH192" i="5"/>
  <c r="CH184" i="5"/>
  <c r="CG196" i="5"/>
  <c r="CH198" i="5"/>
  <c r="CG210" i="5"/>
  <c r="CG194" i="5"/>
  <c r="CH220" i="5"/>
  <c r="CH204" i="5"/>
  <c r="CH196" i="5"/>
  <c r="CG225" i="5"/>
  <c r="CG185" i="5"/>
  <c r="CG229" i="5"/>
  <c r="CG221" i="5"/>
  <c r="CG213" i="5"/>
  <c r="CG205" i="5"/>
  <c r="CG197" i="5"/>
  <c r="CH223" i="5"/>
  <c r="CH215" i="5"/>
  <c r="CH207" i="5"/>
  <c r="CH199" i="5"/>
  <c r="CH191" i="5"/>
  <c r="CE218" i="5"/>
  <c r="CE181" i="5"/>
  <c r="CE190" i="5"/>
  <c r="E899" i="5"/>
  <c r="CF239" i="5" s="1"/>
  <c r="CF242" i="5" s="1"/>
  <c r="C899" i="5"/>
  <c r="CE239" i="5" s="1"/>
  <c r="E901" i="5"/>
  <c r="BY177" i="5" s="1"/>
  <c r="E902" i="5"/>
  <c r="BZ177" i="5" s="1"/>
  <c r="E903" i="5"/>
  <c r="CA177" i="5" s="1"/>
  <c r="E904" i="5"/>
  <c r="CB177" i="5" s="1"/>
  <c r="E905" i="5"/>
  <c r="CC177" i="5" s="1"/>
  <c r="E906" i="5"/>
  <c r="CD177" i="5" s="1"/>
  <c r="E900" i="5"/>
  <c r="BX177" i="5" s="1"/>
  <c r="C901" i="5"/>
  <c r="BY178" i="5" s="1"/>
  <c r="C902" i="5"/>
  <c r="BZ178" i="5" s="1"/>
  <c r="C903" i="5"/>
  <c r="CA178" i="5" s="1"/>
  <c r="C904" i="5"/>
  <c r="CB178" i="5" s="1"/>
  <c r="C905" i="5"/>
  <c r="CC178" i="5" s="1"/>
  <c r="C906" i="5"/>
  <c r="CD178" i="5" s="1"/>
  <c r="C900" i="5"/>
  <c r="BX178" i="5" s="1"/>
  <c r="CE180" i="5" l="1"/>
  <c r="CE208" i="5"/>
  <c r="CE186" i="5"/>
  <c r="CF186" i="5"/>
  <c r="CF208" i="5"/>
  <c r="CH236" i="5"/>
  <c r="CF229" i="5"/>
  <c r="CF188" i="5"/>
  <c r="CF196" i="5"/>
  <c r="CF204" i="5"/>
  <c r="CF212" i="5"/>
  <c r="CF220" i="5"/>
  <c r="CF228" i="5"/>
  <c r="CF189" i="5"/>
  <c r="CF197" i="5"/>
  <c r="CF205" i="5"/>
  <c r="CF213" i="5"/>
  <c r="CF221" i="5"/>
  <c r="CF180" i="5"/>
  <c r="CF198" i="5"/>
  <c r="CF206" i="5"/>
  <c r="CF214" i="5"/>
  <c r="CF222" i="5"/>
  <c r="CF227" i="5"/>
  <c r="CF182" i="5"/>
  <c r="CF191" i="5"/>
  <c r="CF199" i="5"/>
  <c r="CF207" i="5"/>
  <c r="CF215" i="5"/>
  <c r="CF223" i="5"/>
  <c r="CF192" i="5"/>
  <c r="CF224" i="5"/>
  <c r="CF195" i="5"/>
  <c r="CF211" i="5"/>
  <c r="CF183" i="5"/>
  <c r="CF200" i="5"/>
  <c r="CF216" i="5"/>
  <c r="CF187" i="5"/>
  <c r="CF203" i="5"/>
  <c r="CF184" i="5"/>
  <c r="CF193" i="5"/>
  <c r="CF201" i="5"/>
  <c r="CF209" i="5"/>
  <c r="CF217" i="5"/>
  <c r="CF225" i="5"/>
  <c r="CF185" i="5"/>
  <c r="CF194" i="5"/>
  <c r="CF202" i="5"/>
  <c r="CF210" i="5"/>
  <c r="CF226" i="5"/>
  <c r="CF219" i="5"/>
  <c r="CH235" i="5"/>
  <c r="CG235" i="5"/>
  <c r="CH233" i="5"/>
  <c r="CG236" i="5"/>
  <c r="CH234" i="5"/>
  <c r="CH232" i="5"/>
  <c r="CG234" i="5"/>
  <c r="CG233" i="5"/>
  <c r="CG232" i="5"/>
  <c r="CE191" i="5"/>
  <c r="CE199" i="5"/>
  <c r="CE207" i="5"/>
  <c r="CE215" i="5"/>
  <c r="CE224" i="5"/>
  <c r="CE183" i="5"/>
  <c r="CE209" i="5"/>
  <c r="CE226" i="5"/>
  <c r="CE192" i="5"/>
  <c r="CE200" i="5"/>
  <c r="CE217" i="5"/>
  <c r="CE225" i="5"/>
  <c r="CE185" i="5"/>
  <c r="CE201" i="5"/>
  <c r="CE197" i="5"/>
  <c r="CE206" i="5"/>
  <c r="CE193" i="5"/>
  <c r="CE184" i="5"/>
  <c r="CE194" i="5"/>
  <c r="CE202" i="5"/>
  <c r="CE210" i="5"/>
  <c r="CE219" i="5"/>
  <c r="CE227" i="5"/>
  <c r="CE187" i="5"/>
  <c r="CE212" i="5"/>
  <c r="CE205" i="5"/>
  <c r="CE214" i="5"/>
  <c r="CE182" i="5"/>
  <c r="CE216" i="5"/>
  <c r="CE195" i="5"/>
  <c r="CE203" i="5"/>
  <c r="CE211" i="5"/>
  <c r="CE220" i="5"/>
  <c r="CE228" i="5"/>
  <c r="CE188" i="5"/>
  <c r="CE221" i="5"/>
  <c r="CE189" i="5"/>
  <c r="CE213" i="5"/>
  <c r="CE223" i="5"/>
  <c r="CE196" i="5"/>
  <c r="CE204" i="5"/>
  <c r="CE229" i="5"/>
  <c r="CE222" i="5"/>
  <c r="CE198" i="5"/>
  <c r="CF235" i="5" l="1"/>
  <c r="CF232" i="5"/>
  <c r="CF236" i="5"/>
  <c r="CF234" i="5"/>
  <c r="CF233" i="5"/>
  <c r="D926" i="5" s="1"/>
  <c r="CE232" i="5"/>
  <c r="CE236" i="5"/>
  <c r="CE235" i="5"/>
  <c r="CE234" i="5"/>
  <c r="CE233" i="5"/>
  <c r="CE242" i="5" l="1"/>
  <c r="B75" i="5"/>
  <c r="B677" i="5" l="1"/>
  <c r="B711" i="5" s="1"/>
  <c r="D925" i="5"/>
  <c r="D928" i="5" s="1"/>
  <c r="B856" i="5"/>
  <c r="B547" i="5"/>
  <c r="C547" i="5"/>
  <c r="D547" i="5"/>
  <c r="E547" i="5"/>
  <c r="G547" i="5"/>
  <c r="F547" i="5"/>
  <c r="C545" i="5"/>
  <c r="D545" i="5"/>
  <c r="E545" i="5"/>
  <c r="F545" i="5"/>
  <c r="G545" i="5"/>
  <c r="G548" i="5"/>
  <c r="E548" i="5"/>
  <c r="D548" i="5"/>
  <c r="C548" i="5"/>
  <c r="B548" i="5"/>
  <c r="F548" i="5"/>
  <c r="F543" i="5"/>
  <c r="G543" i="5"/>
  <c r="G544" i="5" s="1"/>
  <c r="E543" i="5"/>
  <c r="C543" i="5"/>
  <c r="F542" i="5"/>
  <c r="B572" i="5" s="1"/>
  <c r="B770" i="5" s="1"/>
  <c r="B565" i="5"/>
  <c r="G534" i="5"/>
  <c r="G535" i="5" s="1"/>
  <c r="F534" i="5"/>
  <c r="F528" i="5"/>
  <c r="G526" i="5"/>
  <c r="E525" i="5"/>
  <c r="D525" i="5"/>
  <c r="D538" i="5" s="1"/>
  <c r="C525" i="5"/>
  <c r="B577" i="5" l="1"/>
  <c r="F538" i="5"/>
  <c r="B578" i="5"/>
  <c r="G538" i="5"/>
  <c r="F544" i="5"/>
  <c r="F535" i="5"/>
  <c r="B44" i="5" l="1"/>
  <c r="BV235" i="5"/>
  <c r="BS232" i="5"/>
  <c r="BT232" i="5"/>
  <c r="BU232" i="5"/>
  <c r="BV232" i="5"/>
  <c r="BS233" i="5"/>
  <c r="BT233" i="5"/>
  <c r="BU233" i="5"/>
  <c r="BV233" i="5"/>
  <c r="BS234" i="5"/>
  <c r="BT234" i="5"/>
  <c r="BU234" i="5"/>
  <c r="BV234" i="5"/>
  <c r="BS235" i="5"/>
  <c r="BT235" i="5"/>
  <c r="BU235" i="5"/>
  <c r="BS236" i="5"/>
  <c r="BT236" i="5"/>
  <c r="BU236" i="5"/>
  <c r="BV236" i="5"/>
  <c r="BR233" i="5"/>
  <c r="BR234" i="5"/>
  <c r="BR235" i="5"/>
  <c r="BR236" i="5"/>
  <c r="BR232" i="5"/>
  <c r="AE232" i="5"/>
  <c r="AE233" i="5"/>
  <c r="AE234" i="5"/>
  <c r="AE235" i="5"/>
  <c r="AE236" i="5"/>
  <c r="AC234" i="5" a="1"/>
  <c r="AC234" i="5" s="1"/>
  <c r="E953" i="5" l="1"/>
  <c r="D953" i="5"/>
  <c r="AE242" i="5"/>
  <c r="B22" i="5" s="1"/>
  <c r="C953" i="5"/>
  <c r="B953" i="5"/>
  <c r="D955" i="5" l="1"/>
  <c r="D954" i="5"/>
  <c r="D958" i="5" s="1"/>
  <c r="E955" i="5"/>
  <c r="E954" i="5"/>
  <c r="C954" i="5"/>
  <c r="C955" i="5"/>
  <c r="B65" i="34"/>
  <c r="B64" i="34"/>
  <c r="B59" i="34"/>
  <c r="B95" i="34" s="1"/>
  <c r="B58" i="34"/>
  <c r="B57" i="34"/>
  <c r="B54" i="34"/>
  <c r="B90" i="34" s="1"/>
  <c r="B55" i="34"/>
  <c r="B56" i="34"/>
  <c r="B53" i="34"/>
  <c r="B52" i="34"/>
  <c r="B88" i="34" s="1"/>
  <c r="H278" i="5"/>
  <c r="H280" i="5"/>
  <c r="H281" i="5"/>
  <c r="H282" i="5"/>
  <c r="H283" i="5"/>
  <c r="H284" i="5"/>
  <c r="H275" i="5"/>
  <c r="B288" i="5"/>
  <c r="I275" i="5"/>
  <c r="C279" i="5"/>
  <c r="C277" i="5"/>
  <c r="C276" i="5"/>
  <c r="C275" i="5"/>
  <c r="I284" i="5"/>
  <c r="C284" i="5"/>
  <c r="I283" i="5"/>
  <c r="C283" i="5"/>
  <c r="I282" i="5"/>
  <c r="C282" i="5"/>
  <c r="I281" i="5"/>
  <c r="C281" i="5"/>
  <c r="I280" i="5"/>
  <c r="C280" i="5"/>
  <c r="I279" i="5"/>
  <c r="I278" i="5"/>
  <c r="I277" i="5"/>
  <c r="I276" i="5"/>
  <c r="AL239" i="5" a="1"/>
  <c r="AL239" i="5" s="1"/>
  <c r="AL232" i="5" a="1"/>
  <c r="AL232" i="5" s="1"/>
  <c r="AL233" i="5" a="1"/>
  <c r="AL233" i="5" s="1"/>
  <c r="AL234" i="5" a="1"/>
  <c r="AL234" i="5" s="1"/>
  <c r="AL235" i="5" a="1"/>
  <c r="AL235" i="5" s="1"/>
  <c r="AL236" i="5" a="1"/>
  <c r="AL236" i="5" s="1"/>
  <c r="AC239" i="5" a="1"/>
  <c r="AC239" i="5" s="1"/>
  <c r="X183" i="5"/>
  <c r="X182" i="5"/>
  <c r="X181" i="5"/>
  <c r="X180" i="5"/>
  <c r="X185" i="5"/>
  <c r="X186" i="5"/>
  <c r="X187" i="5"/>
  <c r="X188" i="5"/>
  <c r="X189" i="5"/>
  <c r="X190" i="5"/>
  <c r="X191" i="5"/>
  <c r="X192" i="5"/>
  <c r="X193" i="5"/>
  <c r="X194" i="5"/>
  <c r="X195" i="5"/>
  <c r="X196" i="5"/>
  <c r="X197" i="5"/>
  <c r="X198" i="5"/>
  <c r="X199" i="5"/>
  <c r="X200" i="5"/>
  <c r="X201" i="5"/>
  <c r="X202" i="5"/>
  <c r="X203" i="5"/>
  <c r="X204" i="5"/>
  <c r="X205" i="5"/>
  <c r="X206" i="5"/>
  <c r="X207" i="5"/>
  <c r="X208" i="5"/>
  <c r="X209" i="5"/>
  <c r="X210" i="5"/>
  <c r="X211" i="5"/>
  <c r="X212" i="5"/>
  <c r="X213" i="5"/>
  <c r="X214" i="5"/>
  <c r="X215" i="5"/>
  <c r="X216" i="5"/>
  <c r="X217" i="5"/>
  <c r="X218" i="5"/>
  <c r="X219" i="5"/>
  <c r="X220" i="5"/>
  <c r="X221" i="5"/>
  <c r="X222" i="5"/>
  <c r="X223" i="5"/>
  <c r="X224" i="5"/>
  <c r="X225" i="5"/>
  <c r="X226" i="5"/>
  <c r="X227" i="5"/>
  <c r="X228" i="5"/>
  <c r="X229" i="5"/>
  <c r="BT239" i="5"/>
  <c r="BV239" i="5"/>
  <c r="B1083" i="5"/>
  <c r="C1083" i="5"/>
  <c r="C1081" i="5"/>
  <c r="B1081" i="5"/>
  <c r="C1079" i="5"/>
  <c r="B1079" i="5"/>
  <c r="C1067" i="5"/>
  <c r="B1067" i="5"/>
  <c r="C1065" i="5"/>
  <c r="B1065" i="5"/>
  <c r="B77" i="5"/>
  <c r="B78" i="5" s="1"/>
  <c r="B532" i="5"/>
  <c r="C472" i="5"/>
  <c r="B531" i="5" s="1"/>
  <c r="C467" i="5"/>
  <c r="E530" i="5" s="1"/>
  <c r="B467" i="5"/>
  <c r="B493" i="5" s="1"/>
  <c r="C508" i="5"/>
  <c r="E529" i="5" s="1"/>
  <c r="B508" i="5"/>
  <c r="B517" i="5" s="1"/>
  <c r="C506" i="5"/>
  <c r="B506" i="5"/>
  <c r="C466" i="5"/>
  <c r="B466" i="5"/>
  <c r="B494" i="5" s="1"/>
  <c r="B480" i="5"/>
  <c r="E958" i="5" l="1"/>
  <c r="D959" i="5"/>
  <c r="D960" i="5" s="1"/>
  <c r="B541" i="5"/>
  <c r="C541" i="5"/>
  <c r="B530" i="5"/>
  <c r="B533" i="5" s="1"/>
  <c r="C958" i="5"/>
  <c r="B515" i="5"/>
  <c r="D529" i="5"/>
  <c r="D541" i="5"/>
  <c r="F541" i="5"/>
  <c r="E531" i="5"/>
  <c r="D531" i="5"/>
  <c r="C530" i="5"/>
  <c r="C531" i="5"/>
  <c r="D530" i="5"/>
  <c r="C1056" i="5"/>
  <c r="C1055" i="5"/>
  <c r="C1054" i="5"/>
  <c r="B1056" i="5"/>
  <c r="B1055" i="5"/>
  <c r="B1054" i="5"/>
  <c r="B1019" i="5"/>
  <c r="C1019" i="5"/>
  <c r="B91" i="34"/>
  <c r="B952" i="5"/>
  <c r="B956" i="5" s="1"/>
  <c r="B936" i="5"/>
  <c r="B943" i="5"/>
  <c r="B938" i="5"/>
  <c r="B18" i="5"/>
  <c r="B1105" i="5"/>
  <c r="B20" i="5"/>
  <c r="BQ180" i="5"/>
  <c r="BQ181" i="5"/>
  <c r="BQ182" i="5"/>
  <c r="BQ183" i="5"/>
  <c r="BQ184" i="5"/>
  <c r="BQ185" i="5"/>
  <c r="BQ186" i="5"/>
  <c r="BQ187" i="5"/>
  <c r="BQ188" i="5"/>
  <c r="BQ189" i="5"/>
  <c r="BQ190" i="5"/>
  <c r="BQ191" i="5"/>
  <c r="BQ192" i="5"/>
  <c r="BQ193" i="5"/>
  <c r="BQ194" i="5"/>
  <c r="BQ195" i="5"/>
  <c r="BQ196" i="5"/>
  <c r="BQ197" i="5"/>
  <c r="BQ198" i="5"/>
  <c r="BQ199" i="5"/>
  <c r="BQ200" i="5"/>
  <c r="BQ201" i="5"/>
  <c r="BQ202" i="5"/>
  <c r="BQ203" i="5"/>
  <c r="BQ204" i="5"/>
  <c r="BQ205" i="5"/>
  <c r="BQ206" i="5"/>
  <c r="BQ207" i="5"/>
  <c r="BQ208" i="5"/>
  <c r="BQ209" i="5"/>
  <c r="BQ210" i="5"/>
  <c r="BQ211" i="5"/>
  <c r="BQ212" i="5"/>
  <c r="BQ213" i="5"/>
  <c r="BQ214" i="5"/>
  <c r="BQ215" i="5"/>
  <c r="BQ216" i="5"/>
  <c r="BQ217" i="5"/>
  <c r="BQ218" i="5"/>
  <c r="BQ219" i="5"/>
  <c r="BQ220" i="5"/>
  <c r="BQ221" i="5"/>
  <c r="BQ222" i="5"/>
  <c r="BQ223" i="5"/>
  <c r="BQ224" i="5"/>
  <c r="BQ225" i="5"/>
  <c r="BQ226" i="5"/>
  <c r="BQ227" i="5"/>
  <c r="BQ228" i="5"/>
  <c r="BQ229" i="5"/>
  <c r="BO232" i="5"/>
  <c r="E959" i="5" l="1"/>
  <c r="E960" i="5" s="1"/>
  <c r="E984" i="5" s="1"/>
  <c r="E986" i="5" s="1"/>
  <c r="E987" i="5" s="1"/>
  <c r="B570" i="5"/>
  <c r="D961" i="5"/>
  <c r="B834" i="5"/>
  <c r="B836" i="5"/>
  <c r="B676" i="5"/>
  <c r="C959" i="5"/>
  <c r="C960" i="5" s="1"/>
  <c r="C984" i="5" s="1"/>
  <c r="C986" i="5" s="1"/>
  <c r="C987" i="5" s="1"/>
  <c r="D922" i="5"/>
  <c r="D924" i="5" s="1"/>
  <c r="D929" i="5" s="1"/>
  <c r="BQ232" i="5" a="1"/>
  <c r="BQ232" i="5" s="1"/>
  <c r="BQ235" i="5" a="1"/>
  <c r="BQ235" i="5" s="1"/>
  <c r="BQ233" i="5" a="1"/>
  <c r="BQ233" i="5" s="1"/>
  <c r="BQ239" i="5" a="1"/>
  <c r="BQ239" i="5" s="1"/>
  <c r="B922" i="5"/>
  <c r="B924" i="5" s="1"/>
  <c r="BQ236" i="5" a="1"/>
  <c r="BQ236" i="5" s="1"/>
  <c r="BQ234" i="5" a="1"/>
  <c r="BQ234" i="5" s="1"/>
  <c r="BO239" i="5"/>
  <c r="BO233" i="5"/>
  <c r="BO234" i="5"/>
  <c r="BO235" i="5"/>
  <c r="BO236" i="5"/>
  <c r="E961" i="5" l="1"/>
  <c r="B678" i="5"/>
  <c r="B710" i="5"/>
  <c r="C961" i="5"/>
  <c r="BO242" i="5"/>
  <c r="BQ242" i="5"/>
  <c r="B773" i="5"/>
  <c r="Z239" i="5" a="1"/>
  <c r="Z239" i="5" s="1"/>
  <c r="AJ239" i="5" a="1"/>
  <c r="AJ239" i="5" s="1"/>
  <c r="AH239" i="5" a="1"/>
  <c r="AH239" i="5" s="1"/>
  <c r="AF239" i="5" a="1"/>
  <c r="AF239" i="5" s="1"/>
  <c r="Y232" i="5" a="1"/>
  <c r="Y232" i="5" s="1"/>
  <c r="B95" i="5"/>
  <c r="B100" i="5"/>
  <c r="Y234" i="5" a="1"/>
  <c r="Y234" i="5" s="1"/>
  <c r="B545" i="5"/>
  <c r="B575" i="5" s="1"/>
  <c r="D543" i="5"/>
  <c r="B543" i="5"/>
  <c r="B118" i="5"/>
  <c r="B787" i="5" s="1"/>
  <c r="U234" i="5" a="1"/>
  <c r="U234" i="5" s="1"/>
  <c r="D233" i="5"/>
  <c r="D234" i="5"/>
  <c r="D235" i="5"/>
  <c r="D236" i="5"/>
  <c r="C29" i="34" s="1"/>
  <c r="D232" i="5"/>
  <c r="AB233" i="5"/>
  <c r="AB235" i="5"/>
  <c r="AB236" i="5"/>
  <c r="AB232" i="5"/>
  <c r="AC232" i="5" a="1"/>
  <c r="AC232" i="5" s="1"/>
  <c r="AB207" i="5"/>
  <c r="AB190" i="5"/>
  <c r="AB182" i="5"/>
  <c r="AB181" i="5"/>
  <c r="C463" i="5"/>
  <c r="C464" i="5" s="1"/>
  <c r="B451" i="5"/>
  <c r="B456" i="5"/>
  <c r="B453" i="5"/>
  <c r="B454" i="5"/>
  <c r="C480" i="5"/>
  <c r="B472" i="5"/>
  <c r="C471" i="5"/>
  <c r="C473" i="5"/>
  <c r="C474" i="5"/>
  <c r="C475" i="5"/>
  <c r="C476" i="5"/>
  <c r="C477" i="5"/>
  <c r="C470" i="5"/>
  <c r="C532" i="5"/>
  <c r="C533" i="5" s="1"/>
  <c r="D532" i="5"/>
  <c r="D533" i="5" s="1"/>
  <c r="E532" i="5"/>
  <c r="E533" i="5" s="1"/>
  <c r="E541" i="5"/>
  <c r="F526" i="5"/>
  <c r="E526" i="5"/>
  <c r="C526" i="5"/>
  <c r="D526" i="5"/>
  <c r="B457" i="5" l="1"/>
  <c r="B712" i="5"/>
  <c r="B122" i="5"/>
  <c r="E939" i="5" s="1"/>
  <c r="B120" i="5"/>
  <c r="A396" i="5" s="1"/>
  <c r="D397" i="5" s="1"/>
  <c r="D440" i="5" s="1"/>
  <c r="B359" i="5"/>
  <c r="B356" i="5"/>
  <c r="B357" i="5" s="1"/>
  <c r="B287" i="5"/>
  <c r="B573" i="5"/>
  <c r="B656" i="5"/>
  <c r="B658" i="5" s="1"/>
  <c r="B611" i="5"/>
  <c r="B613" i="5" s="1"/>
  <c r="B119" i="5"/>
  <c r="C538" i="5"/>
  <c r="E538" i="5"/>
  <c r="B772" i="5"/>
  <c r="D544" i="5"/>
  <c r="B544" i="5"/>
  <c r="AB242" i="5"/>
  <c r="B39" i="5" s="1"/>
  <c r="Z234" i="5" a="1"/>
  <c r="Z234" i="5" s="1"/>
  <c r="Z233" i="5" a="1"/>
  <c r="Z233" i="5" s="1"/>
  <c r="Z236" i="5" a="1"/>
  <c r="Z236" i="5" s="1"/>
  <c r="Z235" i="5" a="1"/>
  <c r="Z235" i="5" s="1"/>
  <c r="Z232" i="5" a="1"/>
  <c r="Z232" i="5" s="1"/>
  <c r="C544" i="5"/>
  <c r="E544" i="5"/>
  <c r="AB234" i="5"/>
  <c r="B478" i="5"/>
  <c r="C478" i="5" s="1"/>
  <c r="B479" i="5"/>
  <c r="C479" i="5" s="1"/>
  <c r="B526" i="5"/>
  <c r="B295" i="5" l="1"/>
  <c r="D337" i="5"/>
  <c r="B293" i="5"/>
  <c r="B289" i="5"/>
  <c r="B296" i="5"/>
  <c r="B292" i="5"/>
  <c r="B294" i="5" s="1"/>
  <c r="A383" i="5"/>
  <c r="D944" i="5"/>
  <c r="E944" i="5"/>
  <c r="B527" i="5"/>
  <c r="B536" i="5" s="1"/>
  <c r="B1012" i="5" s="1"/>
  <c r="B121" i="5"/>
  <c r="B762" i="5"/>
  <c r="Z242" i="5"/>
  <c r="B763" i="5" s="1"/>
  <c r="B297" i="5"/>
  <c r="F337" i="5"/>
  <c r="C944" i="5"/>
  <c r="C939" i="5"/>
  <c r="D939" i="5"/>
  <c r="G527" i="5"/>
  <c r="B574" i="5"/>
  <c r="B944" i="5"/>
  <c r="B945" i="5" s="1"/>
  <c r="E1030" i="5"/>
  <c r="B939" i="5"/>
  <c r="B771" i="5"/>
  <c r="B775" i="5" s="1"/>
  <c r="A49" i="5"/>
  <c r="C336" i="5" l="1"/>
  <c r="G336" i="5"/>
  <c r="B290" i="5"/>
  <c r="C338" i="5"/>
  <c r="B338" i="5"/>
  <c r="E946" i="5"/>
  <c r="E945" i="5"/>
  <c r="E947" i="5" s="1"/>
  <c r="D946" i="5"/>
  <c r="D945" i="5"/>
  <c r="C807" i="5"/>
  <c r="B805" i="5"/>
  <c r="C806" i="5"/>
  <c r="B804" i="5"/>
  <c r="B802" i="5"/>
  <c r="C805" i="5"/>
  <c r="B803" i="5"/>
  <c r="B799" i="5"/>
  <c r="C802" i="5"/>
  <c r="B807" i="5"/>
  <c r="C799" i="5"/>
  <c r="C801" i="5" s="1"/>
  <c r="B806" i="5"/>
  <c r="C804" i="5"/>
  <c r="C803" i="5"/>
  <c r="G536" i="5"/>
  <c r="F338" i="5"/>
  <c r="D327" i="5"/>
  <c r="G337" i="5"/>
  <c r="D338" i="5"/>
  <c r="E337" i="5"/>
  <c r="D324" i="5"/>
  <c r="D336" i="5"/>
  <c r="B328" i="5"/>
  <c r="E336" i="5"/>
  <c r="B327" i="5"/>
  <c r="F336" i="5"/>
  <c r="B325" i="5"/>
  <c r="B324" i="5"/>
  <c r="B322" i="5"/>
  <c r="B321" i="5" s="1"/>
  <c r="C321" i="5" s="1"/>
  <c r="D321" i="5" s="1"/>
  <c r="B336" i="5"/>
  <c r="C945" i="5"/>
  <c r="C946" i="5"/>
  <c r="B946" i="5"/>
  <c r="B947" i="5" s="1"/>
  <c r="B811" i="5"/>
  <c r="D947" i="5" l="1"/>
  <c r="D948" i="5" s="1"/>
  <c r="D949" i="5" s="1"/>
  <c r="B715" i="5"/>
  <c r="B731" i="5"/>
  <c r="E948" i="5"/>
  <c r="E949" i="5" s="1"/>
  <c r="E975" i="5" s="1"/>
  <c r="E977" i="5" s="1"/>
  <c r="E978" i="5" s="1"/>
  <c r="B716" i="5"/>
  <c r="E338" i="5"/>
  <c r="D325" i="5"/>
  <c r="G338" i="5"/>
  <c r="D328" i="5"/>
  <c r="C947" i="5"/>
  <c r="B948" i="5"/>
  <c r="B950" i="5" s="1"/>
  <c r="C800" i="5"/>
  <c r="B800" i="5"/>
  <c r="B801" i="5"/>
  <c r="U236" i="5" a="1"/>
  <c r="U236" i="5" s="1"/>
  <c r="U233" i="5" a="1"/>
  <c r="U233" i="5" s="1"/>
  <c r="U235" i="5" a="1"/>
  <c r="U235" i="5" s="1"/>
  <c r="B24" i="5"/>
  <c r="B23" i="5"/>
  <c r="BN182" i="5"/>
  <c r="BN183" i="5"/>
  <c r="BN184" i="5"/>
  <c r="BN185" i="5"/>
  <c r="BN186" i="5"/>
  <c r="BN187" i="5"/>
  <c r="BN188" i="5"/>
  <c r="BN189" i="5"/>
  <c r="BN191" i="5"/>
  <c r="BN192" i="5"/>
  <c r="BN193" i="5"/>
  <c r="BN194" i="5"/>
  <c r="BN195" i="5"/>
  <c r="BN196" i="5"/>
  <c r="BN197" i="5"/>
  <c r="BN198" i="5"/>
  <c r="BN199" i="5"/>
  <c r="BN200" i="5"/>
  <c r="BN201" i="5"/>
  <c r="BN202" i="5"/>
  <c r="BN203" i="5"/>
  <c r="BN204" i="5"/>
  <c r="BN205" i="5"/>
  <c r="BN206" i="5"/>
  <c r="BN207" i="5"/>
  <c r="BN208" i="5"/>
  <c r="BN209" i="5"/>
  <c r="BN210" i="5"/>
  <c r="BN211" i="5"/>
  <c r="BN212" i="5"/>
  <c r="BN213" i="5"/>
  <c r="BN214" i="5"/>
  <c r="BN215" i="5"/>
  <c r="BN216" i="5"/>
  <c r="BN217" i="5"/>
  <c r="BN218" i="5"/>
  <c r="BN219" i="5"/>
  <c r="BN220" i="5"/>
  <c r="BN221" i="5"/>
  <c r="BN222" i="5"/>
  <c r="BN223" i="5"/>
  <c r="BN224" i="5"/>
  <c r="BN225" i="5"/>
  <c r="BN226" i="5"/>
  <c r="BN227" i="5"/>
  <c r="BN228" i="5"/>
  <c r="BN229" i="5"/>
  <c r="C40" i="34"/>
  <c r="C39" i="34"/>
  <c r="B25" i="5"/>
  <c r="AJ232" i="5" a="1"/>
  <c r="AJ232" i="5" s="1"/>
  <c r="AJ233" i="5" a="1"/>
  <c r="AJ233" i="5" s="1"/>
  <c r="AJ234" i="5" a="1"/>
  <c r="AJ234" i="5" s="1"/>
  <c r="AJ235" i="5" a="1"/>
  <c r="AJ235" i="5" s="1"/>
  <c r="AJ236" i="5" a="1"/>
  <c r="AJ236" i="5" s="1"/>
  <c r="AC233" i="5" a="1"/>
  <c r="AC233" i="5" s="1"/>
  <c r="AC235" i="5" a="1"/>
  <c r="AC235" i="5" s="1"/>
  <c r="AC236" i="5" a="1"/>
  <c r="AC236" i="5" s="1"/>
  <c r="Y233" i="5" a="1"/>
  <c r="Y233" i="5" s="1"/>
  <c r="Y235" i="5" a="1"/>
  <c r="Y235" i="5" s="1"/>
  <c r="Y236" i="5" a="1"/>
  <c r="Y236" i="5" s="1"/>
  <c r="B245" i="5"/>
  <c r="B247" i="5" s="1"/>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180" i="5"/>
  <c r="D950" i="5" l="1"/>
  <c r="E950" i="5"/>
  <c r="BN181" i="5"/>
  <c r="B733" i="5"/>
  <c r="O54" i="34"/>
  <c r="W54" i="34"/>
  <c r="AE54" i="34"/>
  <c r="AM54" i="34"/>
  <c r="AU54" i="34"/>
  <c r="BC54" i="34"/>
  <c r="BK54" i="34"/>
  <c r="BS54" i="34"/>
  <c r="CA54" i="34"/>
  <c r="CI54" i="34"/>
  <c r="CQ54" i="34"/>
  <c r="CY54" i="34"/>
  <c r="P55" i="34"/>
  <c r="X55" i="34"/>
  <c r="AF55" i="34"/>
  <c r="AN55" i="34"/>
  <c r="AV55" i="34"/>
  <c r="BD55" i="34"/>
  <c r="BL55" i="34"/>
  <c r="BT55" i="34"/>
  <c r="CB55" i="34"/>
  <c r="CJ55" i="34"/>
  <c r="CR55" i="34"/>
  <c r="I56" i="34"/>
  <c r="Q56" i="34"/>
  <c r="Y56" i="34"/>
  <c r="AG56" i="34"/>
  <c r="AO56" i="34"/>
  <c r="AW56" i="34"/>
  <c r="BE56" i="34"/>
  <c r="BM56" i="34"/>
  <c r="BU56" i="34"/>
  <c r="CC56" i="34"/>
  <c r="CK56" i="34"/>
  <c r="CS56" i="34"/>
  <c r="F54" i="34"/>
  <c r="F56" i="34"/>
  <c r="G57" i="34"/>
  <c r="O57" i="34"/>
  <c r="W57" i="34"/>
  <c r="AE57" i="34"/>
  <c r="AM57" i="34"/>
  <c r="AU57" i="34"/>
  <c r="BC57" i="34"/>
  <c r="BK57" i="34"/>
  <c r="BS57" i="34"/>
  <c r="CA57" i="34"/>
  <c r="CI57" i="34"/>
  <c r="CQ57" i="34"/>
  <c r="CY57" i="34"/>
  <c r="L58" i="34"/>
  <c r="T58" i="34"/>
  <c r="AB58" i="34"/>
  <c r="AJ58" i="34"/>
  <c r="AR58" i="34"/>
  <c r="AZ58" i="34"/>
  <c r="BH58" i="34"/>
  <c r="BP58" i="34"/>
  <c r="BX58" i="34"/>
  <c r="CF58" i="34"/>
  <c r="CN58" i="34"/>
  <c r="CV58" i="34"/>
  <c r="I59" i="34"/>
  <c r="Q59" i="34"/>
  <c r="Y59" i="34"/>
  <c r="AG59" i="34"/>
  <c r="AO59" i="34"/>
  <c r="AW59" i="34"/>
  <c r="BE59" i="34"/>
  <c r="BM59" i="34"/>
  <c r="BU59" i="34"/>
  <c r="CC59" i="34"/>
  <c r="CK59" i="34"/>
  <c r="CS59" i="34"/>
  <c r="D58" i="34"/>
  <c r="K52" i="34"/>
  <c r="S52" i="34"/>
  <c r="AA52" i="34"/>
  <c r="AI52" i="34"/>
  <c r="AQ52" i="34"/>
  <c r="AY52" i="34"/>
  <c r="BG52" i="34"/>
  <c r="BO52" i="34"/>
  <c r="BW52" i="34"/>
  <c r="CE52" i="34"/>
  <c r="P54" i="34"/>
  <c r="X54" i="34"/>
  <c r="AF54" i="34"/>
  <c r="AN54" i="34"/>
  <c r="AV54" i="34"/>
  <c r="BD54" i="34"/>
  <c r="BL54" i="34"/>
  <c r="BT54" i="34"/>
  <c r="CB54" i="34"/>
  <c r="CJ54" i="34"/>
  <c r="CR54" i="34"/>
  <c r="I55" i="34"/>
  <c r="Q55" i="34"/>
  <c r="Y55" i="34"/>
  <c r="AG55" i="34"/>
  <c r="AO55" i="34"/>
  <c r="AW55" i="34"/>
  <c r="BE55" i="34"/>
  <c r="BM55" i="34"/>
  <c r="BU55" i="34"/>
  <c r="CC55" i="34"/>
  <c r="CK55" i="34"/>
  <c r="CS55" i="34"/>
  <c r="J56" i="34"/>
  <c r="R56" i="34"/>
  <c r="Z56" i="34"/>
  <c r="AH56" i="34"/>
  <c r="AP56" i="34"/>
  <c r="AX56" i="34"/>
  <c r="BF56" i="34"/>
  <c r="BN56" i="34"/>
  <c r="BV56" i="34"/>
  <c r="CD56" i="34"/>
  <c r="CL56" i="34"/>
  <c r="CT56" i="34"/>
  <c r="G54" i="34"/>
  <c r="G56" i="34"/>
  <c r="H57" i="34"/>
  <c r="P57" i="34"/>
  <c r="X57" i="34"/>
  <c r="AF57" i="34"/>
  <c r="AN57" i="34"/>
  <c r="AV57" i="34"/>
  <c r="BD57" i="34"/>
  <c r="BL57" i="34"/>
  <c r="BT57" i="34"/>
  <c r="CB57" i="34"/>
  <c r="CJ57" i="34"/>
  <c r="CR57" i="34"/>
  <c r="E58" i="34"/>
  <c r="M58" i="34"/>
  <c r="U58" i="34"/>
  <c r="AC58" i="34"/>
  <c r="AK58" i="34"/>
  <c r="AS58" i="34"/>
  <c r="BA58" i="34"/>
  <c r="BI58" i="34"/>
  <c r="BQ58" i="34"/>
  <c r="BY58" i="34"/>
  <c r="CG58" i="34"/>
  <c r="CO58" i="34"/>
  <c r="CW58" i="34"/>
  <c r="J59" i="34"/>
  <c r="R59" i="34"/>
  <c r="Z59" i="34"/>
  <c r="AH59" i="34"/>
  <c r="AP59" i="34"/>
  <c r="AX59" i="34"/>
  <c r="BF59" i="34"/>
  <c r="BN59" i="34"/>
  <c r="BV59" i="34"/>
  <c r="CD59" i="34"/>
  <c r="CL59" i="34"/>
  <c r="CT59" i="34"/>
  <c r="D57" i="34"/>
  <c r="L52" i="34"/>
  <c r="T52" i="34"/>
  <c r="AB52" i="34"/>
  <c r="AJ52" i="34"/>
  <c r="AR52" i="34"/>
  <c r="AZ52" i="34"/>
  <c r="BH52" i="34"/>
  <c r="BP52" i="34"/>
  <c r="BX52" i="34"/>
  <c r="CF52" i="34"/>
  <c r="I54" i="34"/>
  <c r="Q54" i="34"/>
  <c r="Y54" i="34"/>
  <c r="AG54" i="34"/>
  <c r="AO54" i="34"/>
  <c r="AW54" i="34"/>
  <c r="BE54" i="34"/>
  <c r="BM54" i="34"/>
  <c r="BU54" i="34"/>
  <c r="CC54" i="34"/>
  <c r="CK54" i="34"/>
  <c r="CS54" i="34"/>
  <c r="J55" i="34"/>
  <c r="R55" i="34"/>
  <c r="Z55" i="34"/>
  <c r="AH55" i="34"/>
  <c r="AP55" i="34"/>
  <c r="AX55" i="34"/>
  <c r="BF55" i="34"/>
  <c r="BN55" i="34"/>
  <c r="BV55" i="34"/>
  <c r="CD55" i="34"/>
  <c r="CL55" i="34"/>
  <c r="CT55" i="34"/>
  <c r="K56" i="34"/>
  <c r="S56" i="34"/>
  <c r="AA56" i="34"/>
  <c r="AI56" i="34"/>
  <c r="AQ56" i="34"/>
  <c r="AY56" i="34"/>
  <c r="BG56" i="34"/>
  <c r="BO56" i="34"/>
  <c r="BW56" i="34"/>
  <c r="CE56" i="34"/>
  <c r="CM56" i="34"/>
  <c r="CU56" i="34"/>
  <c r="H54" i="34"/>
  <c r="H56" i="34"/>
  <c r="I57" i="34"/>
  <c r="Q57" i="34"/>
  <c r="Y57" i="34"/>
  <c r="AG57" i="34"/>
  <c r="AO57" i="34"/>
  <c r="AW57" i="34"/>
  <c r="BE57" i="34"/>
  <c r="BM57" i="34"/>
  <c r="BU57" i="34"/>
  <c r="CC57" i="34"/>
  <c r="CK57" i="34"/>
  <c r="CS57" i="34"/>
  <c r="F58" i="34"/>
  <c r="N58" i="34"/>
  <c r="V58" i="34"/>
  <c r="AD58" i="34"/>
  <c r="AL58" i="34"/>
  <c r="AT58" i="34"/>
  <c r="BB58" i="34"/>
  <c r="BJ58" i="34"/>
  <c r="BR58" i="34"/>
  <c r="BZ58" i="34"/>
  <c r="CH58" i="34"/>
  <c r="CP58" i="34"/>
  <c r="CX58" i="34"/>
  <c r="K59" i="34"/>
  <c r="S59" i="34"/>
  <c r="AA59" i="34"/>
  <c r="AI59" i="34"/>
  <c r="AQ59" i="34"/>
  <c r="AY59" i="34"/>
  <c r="BG59" i="34"/>
  <c r="BO59" i="34"/>
  <c r="BW59" i="34"/>
  <c r="CE59" i="34"/>
  <c r="CM59" i="34"/>
  <c r="CU59" i="34"/>
  <c r="E52" i="34"/>
  <c r="M52" i="34"/>
  <c r="U52" i="34"/>
  <c r="AC52" i="34"/>
  <c r="AK52" i="34"/>
  <c r="AS52" i="34"/>
  <c r="BA52" i="34"/>
  <c r="BI52" i="34"/>
  <c r="BQ52" i="34"/>
  <c r="BY52" i="34"/>
  <c r="J54" i="34"/>
  <c r="R54" i="34"/>
  <c r="Z54" i="34"/>
  <c r="AH54" i="34"/>
  <c r="AP54" i="34"/>
  <c r="AX54" i="34"/>
  <c r="BF54" i="34"/>
  <c r="BN54" i="34"/>
  <c r="BV54" i="34"/>
  <c r="CD54" i="34"/>
  <c r="CL54" i="34"/>
  <c r="CT54" i="34"/>
  <c r="K55" i="34"/>
  <c r="S55" i="34"/>
  <c r="AA55" i="34"/>
  <c r="AI55" i="34"/>
  <c r="AQ55" i="34"/>
  <c r="AY55" i="34"/>
  <c r="BG55" i="34"/>
  <c r="BO55" i="34"/>
  <c r="BW55" i="34"/>
  <c r="CE55" i="34"/>
  <c r="CM55" i="34"/>
  <c r="CU55" i="34"/>
  <c r="L56" i="34"/>
  <c r="T56" i="34"/>
  <c r="AB56" i="34"/>
  <c r="AJ56" i="34"/>
  <c r="AR56" i="34"/>
  <c r="AZ56" i="34"/>
  <c r="BH56" i="34"/>
  <c r="BP56" i="34"/>
  <c r="BX56" i="34"/>
  <c r="CF56" i="34"/>
  <c r="CN56" i="34"/>
  <c r="CV56" i="34"/>
  <c r="E55" i="34"/>
  <c r="D55" i="34"/>
  <c r="J57" i="34"/>
  <c r="R57" i="34"/>
  <c r="Z57" i="34"/>
  <c r="AH57" i="34"/>
  <c r="AP57" i="34"/>
  <c r="AX57" i="34"/>
  <c r="BF57" i="34"/>
  <c r="BN57" i="34"/>
  <c r="BV57" i="34"/>
  <c r="CD57" i="34"/>
  <c r="CL57" i="34"/>
  <c r="CT57" i="34"/>
  <c r="G58" i="34"/>
  <c r="O58" i="34"/>
  <c r="W58" i="34"/>
  <c r="AE58" i="34"/>
  <c r="AM58" i="34"/>
  <c r="AU58" i="34"/>
  <c r="BC58" i="34"/>
  <c r="BK58" i="34"/>
  <c r="BS58" i="34"/>
  <c r="CA58" i="34"/>
  <c r="CI58" i="34"/>
  <c r="CQ58" i="34"/>
  <c r="CY58" i="34"/>
  <c r="L59" i="34"/>
  <c r="T59" i="34"/>
  <c r="AB59" i="34"/>
  <c r="AJ59" i="34"/>
  <c r="AR59" i="34"/>
  <c r="AZ59" i="34"/>
  <c r="BH59" i="34"/>
  <c r="BP59" i="34"/>
  <c r="BX59" i="34"/>
  <c r="CF59" i="34"/>
  <c r="CN59" i="34"/>
  <c r="CV59" i="34"/>
  <c r="F52" i="34"/>
  <c r="N52" i="34"/>
  <c r="V52" i="34"/>
  <c r="AD52" i="34"/>
  <c r="AL52" i="34"/>
  <c r="AT52" i="34"/>
  <c r="BB52" i="34"/>
  <c r="BJ52" i="34"/>
  <c r="BR52" i="34"/>
  <c r="BZ52" i="34"/>
  <c r="K54" i="34"/>
  <c r="S54" i="34"/>
  <c r="AA54" i="34"/>
  <c r="AI54" i="34"/>
  <c r="AQ54" i="34"/>
  <c r="AY54" i="34"/>
  <c r="BG54" i="34"/>
  <c r="BO54" i="34"/>
  <c r="BW54" i="34"/>
  <c r="CE54" i="34"/>
  <c r="CM54" i="34"/>
  <c r="CU54" i="34"/>
  <c r="L55" i="34"/>
  <c r="T55" i="34"/>
  <c r="AB55" i="34"/>
  <c r="AJ55" i="34"/>
  <c r="AR55" i="34"/>
  <c r="AZ55" i="34"/>
  <c r="BH55" i="34"/>
  <c r="BP55" i="34"/>
  <c r="BX55" i="34"/>
  <c r="CF55" i="34"/>
  <c r="CN55" i="34"/>
  <c r="CV55" i="34"/>
  <c r="M56" i="34"/>
  <c r="U56" i="34"/>
  <c r="AC56" i="34"/>
  <c r="AK56" i="34"/>
  <c r="AS56" i="34"/>
  <c r="BA56" i="34"/>
  <c r="BI56" i="34"/>
  <c r="BQ56" i="34"/>
  <c r="BY56" i="34"/>
  <c r="CG56" i="34"/>
  <c r="CO56" i="34"/>
  <c r="CW56" i="34"/>
  <c r="F55" i="34"/>
  <c r="D56" i="34"/>
  <c r="K57" i="34"/>
  <c r="S57" i="34"/>
  <c r="AA57" i="34"/>
  <c r="AI57" i="34"/>
  <c r="AQ57" i="34"/>
  <c r="AY57" i="34"/>
  <c r="BG57" i="34"/>
  <c r="BO57" i="34"/>
  <c r="BW57" i="34"/>
  <c r="CE57" i="34"/>
  <c r="CM57" i="34"/>
  <c r="CU57" i="34"/>
  <c r="H58" i="34"/>
  <c r="P58" i="34"/>
  <c r="X58" i="34"/>
  <c r="AF58" i="34"/>
  <c r="AN58" i="34"/>
  <c r="AV58" i="34"/>
  <c r="BD58" i="34"/>
  <c r="BL58" i="34"/>
  <c r="BT58" i="34"/>
  <c r="CB58" i="34"/>
  <c r="CJ58" i="34"/>
  <c r="CR58" i="34"/>
  <c r="E59" i="34"/>
  <c r="M59" i="34"/>
  <c r="U59" i="34"/>
  <c r="AC59" i="34"/>
  <c r="AK59" i="34"/>
  <c r="AS59" i="34"/>
  <c r="BA59" i="34"/>
  <c r="BI59" i="34"/>
  <c r="BQ59" i="34"/>
  <c r="BY59" i="34"/>
  <c r="CG59" i="34"/>
  <c r="CO59" i="34"/>
  <c r="CW59" i="34"/>
  <c r="G52" i="34"/>
  <c r="O52" i="34"/>
  <c r="W52" i="34"/>
  <c r="AE52" i="34"/>
  <c r="AM52" i="34"/>
  <c r="AU52" i="34"/>
  <c r="BC52" i="34"/>
  <c r="BK52" i="34"/>
  <c r="BS52" i="34"/>
  <c r="CA52" i="34"/>
  <c r="L54" i="34"/>
  <c r="T54" i="34"/>
  <c r="AB54" i="34"/>
  <c r="AJ54" i="34"/>
  <c r="AR54" i="34"/>
  <c r="AZ54" i="34"/>
  <c r="BH54" i="34"/>
  <c r="BP54" i="34"/>
  <c r="BX54" i="34"/>
  <c r="CF54" i="34"/>
  <c r="CN54" i="34"/>
  <c r="CV54" i="34"/>
  <c r="M55" i="34"/>
  <c r="U55" i="34"/>
  <c r="AC55" i="34"/>
  <c r="AK55" i="34"/>
  <c r="AS55" i="34"/>
  <c r="BA55" i="34"/>
  <c r="BI55" i="34"/>
  <c r="BQ55" i="34"/>
  <c r="BY55" i="34"/>
  <c r="CG55" i="34"/>
  <c r="CO55" i="34"/>
  <c r="CW55" i="34"/>
  <c r="N56" i="34"/>
  <c r="V56" i="34"/>
  <c r="AD56" i="34"/>
  <c r="AL56" i="34"/>
  <c r="AT56" i="34"/>
  <c r="BB56" i="34"/>
  <c r="BJ56" i="34"/>
  <c r="BR56" i="34"/>
  <c r="BZ56" i="34"/>
  <c r="CH56" i="34"/>
  <c r="CP56" i="34"/>
  <c r="CX56" i="34"/>
  <c r="G55" i="34"/>
  <c r="D54" i="34"/>
  <c r="L57" i="34"/>
  <c r="T57" i="34"/>
  <c r="AB57" i="34"/>
  <c r="AJ57" i="34"/>
  <c r="AR57" i="34"/>
  <c r="AZ57" i="34"/>
  <c r="BH57" i="34"/>
  <c r="BP57" i="34"/>
  <c r="BX57" i="34"/>
  <c r="CF57" i="34"/>
  <c r="CN57" i="34"/>
  <c r="CV57" i="34"/>
  <c r="I58" i="34"/>
  <c r="Q58" i="34"/>
  <c r="Y58" i="34"/>
  <c r="AG58" i="34"/>
  <c r="AO58" i="34"/>
  <c r="AW58" i="34"/>
  <c r="BE58" i="34"/>
  <c r="BM58" i="34"/>
  <c r="BU58" i="34"/>
  <c r="CC58" i="34"/>
  <c r="CK58" i="34"/>
  <c r="CS58" i="34"/>
  <c r="F59" i="34"/>
  <c r="N59" i="34"/>
  <c r="V59" i="34"/>
  <c r="AD59" i="34"/>
  <c r="AL59" i="34"/>
  <c r="AT59" i="34"/>
  <c r="BB59" i="34"/>
  <c r="BJ59" i="34"/>
  <c r="BR59" i="34"/>
  <c r="BZ59" i="34"/>
  <c r="CH59" i="34"/>
  <c r="CP59" i="34"/>
  <c r="CX59" i="34"/>
  <c r="H52" i="34"/>
  <c r="P52" i="34"/>
  <c r="X52" i="34"/>
  <c r="AF52" i="34"/>
  <c r="AN52" i="34"/>
  <c r="AV52" i="34"/>
  <c r="BD52" i="34"/>
  <c r="BL52" i="34"/>
  <c r="BT52" i="34"/>
  <c r="CB52" i="34"/>
  <c r="M54" i="34"/>
  <c r="U54" i="34"/>
  <c r="AC54" i="34"/>
  <c r="AK54" i="34"/>
  <c r="AS54" i="34"/>
  <c r="BA54" i="34"/>
  <c r="BI54" i="34"/>
  <c r="BQ54" i="34"/>
  <c r="BY54" i="34"/>
  <c r="CG54" i="34"/>
  <c r="CO54" i="34"/>
  <c r="CW54" i="34"/>
  <c r="N55" i="34"/>
  <c r="V55" i="34"/>
  <c r="AD55" i="34"/>
  <c r="AL55" i="34"/>
  <c r="AT55" i="34"/>
  <c r="BB55" i="34"/>
  <c r="BJ55" i="34"/>
  <c r="BR55" i="34"/>
  <c r="BZ55" i="34"/>
  <c r="CH55" i="34"/>
  <c r="CP55" i="34"/>
  <c r="CX55" i="34"/>
  <c r="O56" i="34"/>
  <c r="W56" i="34"/>
  <c r="AE56" i="34"/>
  <c r="AM56" i="34"/>
  <c r="AU56" i="34"/>
  <c r="BC56" i="34"/>
  <c r="BK56" i="34"/>
  <c r="BS56" i="34"/>
  <c r="CA56" i="34"/>
  <c r="CI56" i="34"/>
  <c r="CQ56" i="34"/>
  <c r="CY56" i="34"/>
  <c r="H55" i="34"/>
  <c r="E57" i="34"/>
  <c r="M57" i="34"/>
  <c r="U57" i="34"/>
  <c r="AC57" i="34"/>
  <c r="AK57" i="34"/>
  <c r="AS57" i="34"/>
  <c r="BA57" i="34"/>
  <c r="BI57" i="34"/>
  <c r="BQ57" i="34"/>
  <c r="BY57" i="34"/>
  <c r="CG57" i="34"/>
  <c r="CO57" i="34"/>
  <c r="CW57" i="34"/>
  <c r="J58" i="34"/>
  <c r="R58" i="34"/>
  <c r="Z58" i="34"/>
  <c r="AH58" i="34"/>
  <c r="AP58" i="34"/>
  <c r="AX58" i="34"/>
  <c r="BF58" i="34"/>
  <c r="BN58" i="34"/>
  <c r="BV58" i="34"/>
  <c r="CD58" i="34"/>
  <c r="CL58" i="34"/>
  <c r="CT58" i="34"/>
  <c r="G59" i="34"/>
  <c r="O59" i="34"/>
  <c r="W59" i="34"/>
  <c r="AE59" i="34"/>
  <c r="AM59" i="34"/>
  <c r="AU59" i="34"/>
  <c r="BC59" i="34"/>
  <c r="BK59" i="34"/>
  <c r="BS59" i="34"/>
  <c r="CA59" i="34"/>
  <c r="CI59" i="34"/>
  <c r="CQ59" i="34"/>
  <c r="CY59" i="34"/>
  <c r="I52" i="34"/>
  <c r="Q52" i="34"/>
  <c r="Y52" i="34"/>
  <c r="AG52" i="34"/>
  <c r="AO52" i="34"/>
  <c r="AW52" i="34"/>
  <c r="BE52" i="34"/>
  <c r="BM52" i="34"/>
  <c r="BU52" i="34"/>
  <c r="CC52" i="34"/>
  <c r="BJ54" i="34"/>
  <c r="AE55" i="34"/>
  <c r="CQ55" i="34"/>
  <c r="BL56" i="34"/>
  <c r="N57" i="34"/>
  <c r="BZ57" i="34"/>
  <c r="AQ58" i="34"/>
  <c r="H59" i="34"/>
  <c r="BT59" i="34"/>
  <c r="AH52" i="34"/>
  <c r="CH52" i="34"/>
  <c r="CP52" i="34"/>
  <c r="CX52" i="34"/>
  <c r="K53" i="34"/>
  <c r="S53" i="34"/>
  <c r="AA53" i="34"/>
  <c r="AI53" i="34"/>
  <c r="AQ53" i="34"/>
  <c r="AY53" i="34"/>
  <c r="BG53" i="34"/>
  <c r="BO53" i="34"/>
  <c r="BW53" i="34"/>
  <c r="CE53" i="34"/>
  <c r="CM53" i="34"/>
  <c r="CU53" i="34"/>
  <c r="BR54" i="34"/>
  <c r="AM55" i="34"/>
  <c r="CY55" i="34"/>
  <c r="BT56" i="34"/>
  <c r="V57" i="34"/>
  <c r="CH57" i="34"/>
  <c r="AY58" i="34"/>
  <c r="P59" i="34"/>
  <c r="CB59" i="34"/>
  <c r="AP52" i="34"/>
  <c r="CI52" i="34"/>
  <c r="CQ52" i="34"/>
  <c r="CY52" i="34"/>
  <c r="L53" i="34"/>
  <c r="T53" i="34"/>
  <c r="AB53" i="34"/>
  <c r="AJ53" i="34"/>
  <c r="AR53" i="34"/>
  <c r="AZ53" i="34"/>
  <c r="BH53" i="34"/>
  <c r="BX53" i="34"/>
  <c r="CN53" i="34"/>
  <c r="N54" i="34"/>
  <c r="BZ54" i="34"/>
  <c r="AU55" i="34"/>
  <c r="P56" i="34"/>
  <c r="CB56" i="34"/>
  <c r="AD57" i="34"/>
  <c r="CP57" i="34"/>
  <c r="BG58" i="34"/>
  <c r="X59" i="34"/>
  <c r="CJ59" i="34"/>
  <c r="AX52" i="34"/>
  <c r="CJ52" i="34"/>
  <c r="CR52" i="34"/>
  <c r="E53" i="34"/>
  <c r="M53" i="34"/>
  <c r="U53" i="34"/>
  <c r="AC53" i="34"/>
  <c r="AK53" i="34"/>
  <c r="AS53" i="34"/>
  <c r="BA53" i="34"/>
  <c r="BI53" i="34"/>
  <c r="BQ53" i="34"/>
  <c r="BY53" i="34"/>
  <c r="CG53" i="34"/>
  <c r="CO53" i="34"/>
  <c r="CW53" i="34"/>
  <c r="CP54" i="34"/>
  <c r="BK55" i="34"/>
  <c r="CR56" i="34"/>
  <c r="K58" i="34"/>
  <c r="AN59" i="34"/>
  <c r="BN52" i="34"/>
  <c r="CT52" i="34"/>
  <c r="O53" i="34"/>
  <c r="AE53" i="34"/>
  <c r="AU53" i="34"/>
  <c r="BK53" i="34"/>
  <c r="CA53" i="34"/>
  <c r="CQ53" i="34"/>
  <c r="AL54" i="34"/>
  <c r="AN56" i="34"/>
  <c r="BB57" i="34"/>
  <c r="CE58" i="34"/>
  <c r="J52" i="34"/>
  <c r="CM52" i="34"/>
  <c r="H53" i="34"/>
  <c r="X53" i="34"/>
  <c r="AN53" i="34"/>
  <c r="BD53" i="34"/>
  <c r="BT53" i="34"/>
  <c r="CJ53" i="34"/>
  <c r="D53" i="34"/>
  <c r="V54" i="34"/>
  <c r="CH54" i="34"/>
  <c r="BC55" i="34"/>
  <c r="X56" i="34"/>
  <c r="CJ56" i="34"/>
  <c r="AL57" i="34"/>
  <c r="CX57" i="34"/>
  <c r="BO58" i="34"/>
  <c r="AF59" i="34"/>
  <c r="CR59" i="34"/>
  <c r="BF52" i="34"/>
  <c r="CK52" i="34"/>
  <c r="CS52" i="34"/>
  <c r="F53" i="34"/>
  <c r="N53" i="34"/>
  <c r="V53" i="34"/>
  <c r="AD53" i="34"/>
  <c r="AL53" i="34"/>
  <c r="AT53" i="34"/>
  <c r="BB53" i="34"/>
  <c r="BJ53" i="34"/>
  <c r="BR53" i="34"/>
  <c r="BZ53" i="34"/>
  <c r="CH53" i="34"/>
  <c r="CP53" i="34"/>
  <c r="CX53" i="34"/>
  <c r="AD54" i="34"/>
  <c r="AF56" i="34"/>
  <c r="AT57" i="34"/>
  <c r="BW58" i="34"/>
  <c r="D59" i="34"/>
  <c r="CL52" i="34"/>
  <c r="G53" i="34"/>
  <c r="W53" i="34"/>
  <c r="AM53" i="34"/>
  <c r="BC53" i="34"/>
  <c r="BS53" i="34"/>
  <c r="CI53" i="34"/>
  <c r="CY53" i="34"/>
  <c r="CX54" i="34"/>
  <c r="BS55" i="34"/>
  <c r="E54" i="34"/>
  <c r="S58" i="34"/>
  <c r="AV59" i="34"/>
  <c r="BV52" i="34"/>
  <c r="CU52" i="34"/>
  <c r="P53" i="34"/>
  <c r="AF53" i="34"/>
  <c r="AV53" i="34"/>
  <c r="BL53" i="34"/>
  <c r="CB53" i="34"/>
  <c r="CR53" i="34"/>
  <c r="AT54" i="34"/>
  <c r="O55" i="34"/>
  <c r="CA55" i="34"/>
  <c r="AV56" i="34"/>
  <c r="E56" i="34"/>
  <c r="BJ57" i="34"/>
  <c r="AA58" i="34"/>
  <c r="CM58" i="34"/>
  <c r="BD59" i="34"/>
  <c r="R52" i="34"/>
  <c r="CD52" i="34"/>
  <c r="CN52" i="34"/>
  <c r="CV52" i="34"/>
  <c r="I53" i="34"/>
  <c r="Q53" i="34"/>
  <c r="Y53" i="34"/>
  <c r="AG53" i="34"/>
  <c r="AO53" i="34"/>
  <c r="AW53" i="34"/>
  <c r="BE53" i="34"/>
  <c r="BM53" i="34"/>
  <c r="BU53" i="34"/>
  <c r="CC53" i="34"/>
  <c r="CK53" i="34"/>
  <c r="CS53" i="34"/>
  <c r="D52" i="34"/>
  <c r="BB54" i="34"/>
  <c r="W55" i="34"/>
  <c r="CI55" i="34"/>
  <c r="BD56" i="34"/>
  <c r="F57" i="34"/>
  <c r="BR57" i="34"/>
  <c r="AI58" i="34"/>
  <c r="CU58" i="34"/>
  <c r="BL59" i="34"/>
  <c r="Z52" i="34"/>
  <c r="CG52" i="34"/>
  <c r="CO52" i="34"/>
  <c r="CW52" i="34"/>
  <c r="J53" i="34"/>
  <c r="R53" i="34"/>
  <c r="Z53" i="34"/>
  <c r="AH53" i="34"/>
  <c r="AP53" i="34"/>
  <c r="AX53" i="34"/>
  <c r="BF53" i="34"/>
  <c r="BN53" i="34"/>
  <c r="BV53" i="34"/>
  <c r="CD53" i="34"/>
  <c r="CL53" i="34"/>
  <c r="CT53" i="34"/>
  <c r="BP53" i="34"/>
  <c r="CF53" i="34"/>
  <c r="CV53" i="34"/>
  <c r="Y242" i="5"/>
  <c r="C948" i="5"/>
  <c r="C949" i="5" s="1"/>
  <c r="C975" i="5" s="1"/>
  <c r="C977" i="5" s="1"/>
  <c r="C978" i="5" s="1"/>
  <c r="D975" i="5"/>
  <c r="F239" i="5" a="1"/>
  <c r="F239" i="5" s="1"/>
  <c r="F232" i="5" a="1"/>
  <c r="F232" i="5" s="1"/>
  <c r="C42" i="34"/>
  <c r="BN190" i="5"/>
  <c r="F236" i="5" a="1"/>
  <c r="F236" i="5" s="1"/>
  <c r="F235" i="5" a="1"/>
  <c r="F235" i="5" s="1"/>
  <c r="F234" i="5" a="1"/>
  <c r="F234" i="5" s="1"/>
  <c r="F233" i="5" a="1"/>
  <c r="F233" i="5" s="1"/>
  <c r="B249" i="5"/>
  <c r="B250" i="5" s="1"/>
  <c r="A242" i="5"/>
  <c r="B9" i="5"/>
  <c r="B4" i="5"/>
  <c r="B741" i="5" l="1"/>
  <c r="D977" i="5"/>
  <c r="D978" i="5" s="1"/>
  <c r="F242" i="5"/>
  <c r="B5" i="5"/>
  <c r="C44" i="34"/>
  <c r="C107" i="34"/>
  <c r="C514" i="5"/>
  <c r="C511" i="5"/>
  <c r="F998" i="5"/>
  <c r="F999" i="5"/>
  <c r="C950" i="5"/>
  <c r="C361" i="5"/>
  <c r="D504" i="5"/>
  <c r="A560" i="5"/>
  <c r="V241" i="5"/>
  <c r="C362" i="5"/>
  <c r="V242" i="5"/>
  <c r="B873" i="5"/>
  <c r="B874" i="5" s="1"/>
  <c r="B857" i="5"/>
  <c r="B858" i="5" s="1"/>
  <c r="B859" i="5" s="1"/>
  <c r="B862" i="5" s="1"/>
  <c r="B863" i="5" s="1"/>
  <c r="CH241" i="5"/>
  <c r="CG241" i="5"/>
  <c r="C1195" i="5"/>
  <c r="C1193" i="5"/>
  <c r="C1191" i="5"/>
  <c r="B376" i="5"/>
  <c r="B377" i="5" s="1"/>
  <c r="C378" i="5"/>
  <c r="C363" i="5"/>
  <c r="A312" i="5"/>
  <c r="D350" i="5"/>
  <c r="G319" i="5"/>
  <c r="BS241" i="5"/>
  <c r="BR241" i="5"/>
  <c r="BT241" i="5"/>
  <c r="BU241" i="5"/>
  <c r="BV241" i="5"/>
  <c r="B569" i="5"/>
  <c r="C1096" i="5"/>
  <c r="C1094" i="5"/>
  <c r="C487" i="5"/>
  <c r="A1059" i="5"/>
  <c r="B812" i="5"/>
  <c r="B813" i="5" s="1"/>
  <c r="B815" i="5" s="1"/>
  <c r="D505" i="5"/>
  <c r="C483" i="5"/>
  <c r="B154" i="5"/>
  <c r="B153" i="5"/>
  <c r="C1004" i="5"/>
  <c r="C1003" i="5"/>
  <c r="F980" i="5"/>
  <c r="F989" i="5"/>
  <c r="F994" i="5"/>
  <c r="F995" i="5"/>
  <c r="D984" i="5"/>
  <c r="D986" i="5" s="1"/>
  <c r="D987" i="5" s="1"/>
  <c r="F991" i="5"/>
  <c r="C586" i="5"/>
  <c r="C588" i="5"/>
  <c r="C584" i="5"/>
  <c r="F988" i="5"/>
  <c r="F993" i="5"/>
  <c r="F992" i="5"/>
  <c r="F979" i="5"/>
  <c r="B251" i="5"/>
  <c r="B252" i="5" s="1"/>
  <c r="B253" i="5" s="1"/>
  <c r="BN239" i="5" a="1"/>
  <c r="BN239" i="5" s="1"/>
  <c r="BN232" i="5" a="1"/>
  <c r="BN232" i="5" s="1"/>
  <c r="BN233" i="5" a="1"/>
  <c r="BN233" i="5" s="1"/>
  <c r="BN235" i="5" a="1"/>
  <c r="BN235" i="5" s="1"/>
  <c r="BN234" i="5" a="1"/>
  <c r="BN234" i="5" s="1"/>
  <c r="BN236" i="5" a="1"/>
  <c r="BN236" i="5" s="1"/>
  <c r="A552" i="5"/>
  <c r="A556" i="5"/>
  <c r="C527" i="5"/>
  <c r="C536" i="5" s="1"/>
  <c r="B593" i="5" s="1"/>
  <c r="E527" i="5"/>
  <c r="E536" i="5" s="1"/>
  <c r="F527" i="5"/>
  <c r="F536" i="5" s="1"/>
  <c r="B696" i="5" s="1"/>
  <c r="D527" i="5"/>
  <c r="D536" i="5" s="1"/>
  <c r="B134" i="5"/>
  <c r="B130" i="5"/>
  <c r="C388" i="5" l="1"/>
  <c r="D388" i="5" s="1"/>
  <c r="C384" i="5"/>
  <c r="D384" i="5" s="1"/>
  <c r="B706" i="5"/>
  <c r="B681" i="5"/>
  <c r="B682" i="5"/>
  <c r="C386" i="5"/>
  <c r="D386" i="5" s="1"/>
  <c r="C387" i="5"/>
  <c r="D387" i="5" s="1"/>
  <c r="C392" i="5"/>
  <c r="D392" i="5" s="1"/>
  <c r="C391" i="5"/>
  <c r="D391" i="5" s="1"/>
  <c r="C390" i="5"/>
  <c r="D390" i="5" s="1"/>
  <c r="C385" i="5"/>
  <c r="D385" i="5" s="1"/>
  <c r="C389" i="5"/>
  <c r="D389" i="5" s="1"/>
  <c r="B6" i="5"/>
  <c r="B556" i="5"/>
  <c r="B483" i="5"/>
  <c r="B552" i="5"/>
  <c r="B537" i="5" s="1"/>
  <c r="B860" i="5"/>
  <c r="B864" i="5" s="1"/>
  <c r="C504" i="5"/>
  <c r="B504" i="5"/>
  <c r="B596" i="5"/>
  <c r="B602" i="5" s="1"/>
  <c r="B752" i="5" s="1"/>
  <c r="B361" i="5"/>
  <c r="B362" i="5" s="1"/>
  <c r="B1178" i="5" s="1"/>
  <c r="X242" i="5"/>
  <c r="AC242" i="5"/>
  <c r="B26" i="5" s="1"/>
  <c r="AL242" i="5"/>
  <c r="B34" i="5" s="1"/>
  <c r="B35" i="5" s="1"/>
  <c r="B814" i="5"/>
  <c r="B630" i="5"/>
  <c r="BN242" i="5"/>
  <c r="B254" i="5"/>
  <c r="B255" i="5" s="1"/>
  <c r="B259" i="5" l="1"/>
  <c r="E932" i="5"/>
  <c r="E940" i="5" s="1"/>
  <c r="B720" i="5"/>
  <c r="B766" i="5"/>
  <c r="B767" i="5" s="1"/>
  <c r="G537" i="5"/>
  <c r="G539" i="5" s="1"/>
  <c r="G540" i="5" s="1"/>
  <c r="B717" i="5"/>
  <c r="B718" i="5" s="1"/>
  <c r="B698" i="5"/>
  <c r="B683" i="5"/>
  <c r="B684" i="5" s="1"/>
  <c r="B686" i="5"/>
  <c r="D393" i="5"/>
  <c r="B442" i="5" s="1"/>
  <c r="B444" i="5" s="1"/>
  <c r="C393" i="5"/>
  <c r="B511" i="5"/>
  <c r="C537" i="5"/>
  <c r="D537" i="5"/>
  <c r="E537" i="5"/>
  <c r="C66" i="34"/>
  <c r="B925" i="5"/>
  <c r="B928" i="5" s="1"/>
  <c r="B929" i="5" s="1"/>
  <c r="B614" i="5"/>
  <c r="B659" i="5"/>
  <c r="B610" i="5"/>
  <c r="B655" i="5"/>
  <c r="B865" i="5"/>
  <c r="B564" i="5"/>
  <c r="B784" i="5" s="1"/>
  <c r="B563" i="5"/>
  <c r="B17" i="5" s="1"/>
  <c r="B841" i="5" s="1"/>
  <c r="B633" i="5"/>
  <c r="B637" i="5" s="1"/>
  <c r="B631" i="5"/>
  <c r="B597" i="5"/>
  <c r="B603" i="5" s="1"/>
  <c r="B594" i="5"/>
  <c r="B14" i="5"/>
  <c r="B816" i="5"/>
  <c r="C817" i="5"/>
  <c r="B817" i="5"/>
  <c r="B818" i="5" s="1"/>
  <c r="B27" i="5"/>
  <c r="C1012" i="5"/>
  <c r="C925" i="5"/>
  <c r="C928" i="5" s="1"/>
  <c r="B1151" i="5" l="1"/>
  <c r="B875" i="5"/>
  <c r="I20" i="86"/>
  <c r="J20" i="86" s="1"/>
  <c r="B745" i="5"/>
  <c r="B719" i="5"/>
  <c r="B721" i="5"/>
  <c r="B723" i="5" s="1"/>
  <c r="B705" i="5"/>
  <c r="E1105" i="5"/>
  <c r="B1142" i="5"/>
  <c r="C917" i="5"/>
  <c r="C919" i="5" s="1"/>
  <c r="B632" i="5"/>
  <c r="B595" i="5"/>
  <c r="B606" i="5" s="1"/>
  <c r="B607" i="5" s="1"/>
  <c r="C818" i="5"/>
  <c r="B639" i="5"/>
  <c r="B641" i="5" s="1"/>
  <c r="B660" i="5"/>
  <c r="B661" i="5" s="1"/>
  <c r="B917" i="5"/>
  <c r="B919" i="5" s="1"/>
  <c r="B19" i="5"/>
  <c r="D5" i="34"/>
  <c r="C38" i="34"/>
  <c r="B133" i="5"/>
  <c r="B135" i="5"/>
  <c r="B136" i="5"/>
  <c r="B137" i="5"/>
  <c r="B138" i="5"/>
  <c r="B139" i="5"/>
  <c r="B140" i="5"/>
  <c r="B141" i="5"/>
  <c r="B988" i="5" s="1"/>
  <c r="B989" i="5" s="1"/>
  <c r="B142" i="5"/>
  <c r="B143" i="5"/>
  <c r="B144" i="5"/>
  <c r="B145" i="5"/>
  <c r="B147" i="5"/>
  <c r="B148" i="5"/>
  <c r="B149" i="5"/>
  <c r="B150" i="5"/>
  <c r="CG242" i="5" s="1"/>
  <c r="B909" i="5" s="1"/>
  <c r="B151" i="5"/>
  <c r="B132" i="5"/>
  <c r="B131" i="5"/>
  <c r="B378" i="5" l="1"/>
  <c r="B1164" i="5" s="1"/>
  <c r="I21" i="86"/>
  <c r="J21" i="86" s="1"/>
  <c r="B649" i="5"/>
  <c r="B650" i="5"/>
  <c r="B654" i="5"/>
  <c r="E988" i="5"/>
  <c r="E989" i="5" s="1"/>
  <c r="E979" i="5"/>
  <c r="E980" i="5" s="1"/>
  <c r="B871" i="5"/>
  <c r="B878" i="5" s="1"/>
  <c r="B739" i="5"/>
  <c r="B724" i="5"/>
  <c r="B725" i="5" s="1"/>
  <c r="B742" i="5" s="1"/>
  <c r="B740" i="5"/>
  <c r="B685" i="5"/>
  <c r="B687" i="5"/>
  <c r="J12" i="86"/>
  <c r="I12" i="86" s="1"/>
  <c r="B560" i="5"/>
  <c r="F537" i="5" s="1"/>
  <c r="B566" i="5" s="1"/>
  <c r="B839" i="5"/>
  <c r="B1122" i="5"/>
  <c r="C988" i="5"/>
  <c r="C989" i="5" s="1"/>
  <c r="D979" i="5"/>
  <c r="D980" i="5" s="1"/>
  <c r="C979" i="5"/>
  <c r="C980" i="5" s="1"/>
  <c r="D988" i="5"/>
  <c r="D989" i="5" s="1"/>
  <c r="C922" i="5"/>
  <c r="C924" i="5" s="1"/>
  <c r="C929" i="5" s="1"/>
  <c r="B604" i="5"/>
  <c r="B605" i="5" s="1"/>
  <c r="B1102" i="5" s="1"/>
  <c r="B615" i="5"/>
  <c r="B666" i="5"/>
  <c r="C1110" i="5" s="1"/>
  <c r="B754" i="5"/>
  <c r="CH242" i="5"/>
  <c r="B911" i="5" s="1"/>
  <c r="B912" i="5" s="1"/>
  <c r="B1180" i="5" s="1"/>
  <c r="B910" i="5"/>
  <c r="B1179" i="5" s="1"/>
  <c r="C819" i="5"/>
  <c r="C539" i="5"/>
  <c r="C540" i="5" s="1"/>
  <c r="BV242" i="5"/>
  <c r="B819" i="5"/>
  <c r="BU242" i="5"/>
  <c r="BS242" i="5"/>
  <c r="BR242" i="5"/>
  <c r="BT242" i="5"/>
  <c r="B667" i="5"/>
  <c r="B588" i="5"/>
  <c r="B586" i="5"/>
  <c r="B584" i="5"/>
  <c r="E539" i="5"/>
  <c r="E540" i="5" s="1"/>
  <c r="U242" i="5"/>
  <c r="B15" i="5" s="1"/>
  <c r="AJ242" i="5"/>
  <c r="B32" i="5" s="1"/>
  <c r="B358" i="5" l="1"/>
  <c r="B445" i="5"/>
  <c r="C1106" i="5"/>
  <c r="B993" i="5"/>
  <c r="E993" i="5"/>
  <c r="B991" i="5"/>
  <c r="B995" i="5" s="1"/>
  <c r="E991" i="5"/>
  <c r="B992" i="5"/>
  <c r="E992" i="5"/>
  <c r="B616" i="5"/>
  <c r="B622" i="5" s="1"/>
  <c r="B842" i="5"/>
  <c r="B876" i="5" s="1"/>
  <c r="B727" i="5"/>
  <c r="B729" i="5" s="1"/>
  <c r="B730" i="5" s="1"/>
  <c r="B726" i="5"/>
  <c r="B689" i="5"/>
  <c r="F539" i="5"/>
  <c r="F540" i="5" s="1"/>
  <c r="C67" i="34"/>
  <c r="C68" i="34"/>
  <c r="B755" i="5"/>
  <c r="B1095" i="5" s="1"/>
  <c r="C1107" i="5"/>
  <c r="B1130" i="5" s="1"/>
  <c r="C993" i="5"/>
  <c r="C992" i="5"/>
  <c r="C991" i="5"/>
  <c r="B621" i="5"/>
  <c r="B1110" i="5" s="1"/>
  <c r="B539" i="5"/>
  <c r="B540" i="5" s="1"/>
  <c r="B33" i="5"/>
  <c r="B668" i="5"/>
  <c r="D991" i="5"/>
  <c r="D992" i="5"/>
  <c r="D993" i="5"/>
  <c r="C1111" i="5"/>
  <c r="B1103" i="5"/>
  <c r="D539" i="5"/>
  <c r="D540" i="5" s="1"/>
  <c r="B567" i="5" l="1"/>
  <c r="B1176" i="5"/>
  <c r="B994" i="5"/>
  <c r="D994" i="5"/>
  <c r="D995" i="5"/>
  <c r="E995" i="5"/>
  <c r="E994" i="5"/>
  <c r="B623" i="5"/>
  <c r="B624" i="5" s="1"/>
  <c r="B625" i="5" s="1"/>
  <c r="B626" i="5" s="1"/>
  <c r="B1108" i="5" s="1"/>
  <c r="B872" i="5"/>
  <c r="B879" i="5" s="1"/>
  <c r="B704" i="5"/>
  <c r="B753" i="5" s="1"/>
  <c r="I22" i="86"/>
  <c r="J22" i="86" s="1"/>
  <c r="B728" i="5"/>
  <c r="B690" i="5"/>
  <c r="B691" i="5" s="1"/>
  <c r="B692" i="5" s="1"/>
  <c r="B693" i="5" s="1"/>
  <c r="B669" i="5"/>
  <c r="B670" i="5" s="1"/>
  <c r="B672" i="5" s="1"/>
  <c r="B1111" i="5"/>
  <c r="B1134" i="5" s="1"/>
  <c r="B1135" i="5" s="1"/>
  <c r="B756" i="5"/>
  <c r="C994" i="5"/>
  <c r="C995" i="5"/>
  <c r="C59" i="34"/>
  <c r="D79" i="34"/>
  <c r="I23" i="86" l="1"/>
  <c r="J23" i="86" s="1"/>
  <c r="B627" i="5"/>
  <c r="B757" i="5"/>
  <c r="B732" i="5"/>
  <c r="B735" i="5" s="1"/>
  <c r="B746" i="5"/>
  <c r="B747" i="5" s="1"/>
  <c r="B707" i="5"/>
  <c r="B749" i="5" s="1"/>
  <c r="B694" i="5"/>
  <c r="C501" i="5"/>
  <c r="B501" i="5"/>
  <c r="B671" i="5"/>
  <c r="C64" i="34"/>
  <c r="E79" i="34"/>
  <c r="B750" i="5" l="1"/>
  <c r="B734" i="5"/>
  <c r="E1102" i="5" s="1"/>
  <c r="C1108" i="5"/>
  <c r="C1109" i="5" s="1"/>
  <c r="B748" i="5"/>
  <c r="B695" i="5"/>
  <c r="B512" i="5"/>
  <c r="B1109" i="5"/>
  <c r="F79" i="34"/>
  <c r="A53" i="5"/>
  <c r="A54" i="5" s="1"/>
  <c r="D917" i="5" l="1"/>
  <c r="D919" i="5" s="1"/>
  <c r="B844" i="5"/>
  <c r="B845" i="5" s="1"/>
  <c r="B846" i="5" s="1"/>
  <c r="B1132" i="5"/>
  <c r="B1133" i="5" s="1"/>
  <c r="B697" i="5"/>
  <c r="B881" i="5"/>
  <c r="B882" i="5" s="1"/>
  <c r="B883" i="5" s="1"/>
  <c r="C322" i="5"/>
  <c r="D322" i="5" s="1"/>
  <c r="G79" i="34"/>
  <c r="B700" i="5" l="1"/>
  <c r="B848" i="5"/>
  <c r="B847" i="5"/>
  <c r="B884" i="5"/>
  <c r="B699" i="5"/>
  <c r="H79" i="34"/>
  <c r="D1102" i="5" l="1"/>
  <c r="D1103" i="5" s="1"/>
  <c r="B888" i="5"/>
  <c r="B885" i="5"/>
  <c r="B889" i="5" s="1"/>
  <c r="I79" i="34"/>
  <c r="B890" i="5" l="1"/>
  <c r="B891" i="5" s="1"/>
  <c r="B893" i="5" s="1"/>
  <c r="B1147" i="5" s="1"/>
  <c r="J79" i="34"/>
  <c r="B892" i="5" l="1"/>
  <c r="K79" i="34"/>
  <c r="C34" i="34"/>
  <c r="C35" i="34" s="1"/>
  <c r="B1177" i="5" l="1"/>
  <c r="C65" i="34" s="1"/>
  <c r="J13" i="86"/>
  <c r="I13" i="86" s="1"/>
  <c r="L79" i="34"/>
  <c r="M79" i="34" l="1"/>
  <c r="N79" i="34" l="1"/>
  <c r="O79" i="34" l="1"/>
  <c r="P79" i="34" l="1"/>
  <c r="C51" i="34"/>
  <c r="C32" i="34"/>
  <c r="Q79" i="34" l="1"/>
  <c r="B124" i="34"/>
  <c r="R79" i="34" l="1"/>
  <c r="B100" i="34"/>
  <c r="B104" i="34"/>
  <c r="B105" i="34"/>
  <c r="B99" i="34"/>
  <c r="B92" i="34"/>
  <c r="B93" i="34"/>
  <c r="B94" i="34"/>
  <c r="B89" i="34"/>
  <c r="S79" i="34" l="1"/>
  <c r="A156" i="34"/>
  <c r="D147" i="34"/>
  <c r="E147" i="34" s="1"/>
  <c r="F147" i="34" s="1"/>
  <c r="G147" i="34" s="1"/>
  <c r="H147" i="34" s="1"/>
  <c r="I147" i="34" s="1"/>
  <c r="J147" i="34" s="1"/>
  <c r="K147" i="34" s="1"/>
  <c r="L147" i="34" s="1"/>
  <c r="M147" i="34" s="1"/>
  <c r="N147" i="34" s="1"/>
  <c r="O147" i="34" s="1"/>
  <c r="P147" i="34" s="1"/>
  <c r="Q147" i="34" s="1"/>
  <c r="R147" i="34" s="1"/>
  <c r="S147" i="34" s="1"/>
  <c r="T147" i="34" s="1"/>
  <c r="U147" i="34" s="1"/>
  <c r="V147" i="34" s="1"/>
  <c r="W147" i="34" s="1"/>
  <c r="X147" i="34" s="1"/>
  <c r="Y147" i="34" s="1"/>
  <c r="Z147" i="34" s="1"/>
  <c r="AA147" i="34" s="1"/>
  <c r="AB147" i="34" s="1"/>
  <c r="AC147" i="34" s="1"/>
  <c r="AD147" i="34" s="1"/>
  <c r="AE147" i="34" s="1"/>
  <c r="AF147" i="34" s="1"/>
  <c r="AG147" i="34" s="1"/>
  <c r="AH147" i="34" s="1"/>
  <c r="AI147" i="34" s="1"/>
  <c r="AJ147" i="34" s="1"/>
  <c r="AK147" i="34" s="1"/>
  <c r="AL147" i="34" s="1"/>
  <c r="AM147" i="34" s="1"/>
  <c r="AN147" i="34" s="1"/>
  <c r="AO147" i="34" s="1"/>
  <c r="AP147" i="34" s="1"/>
  <c r="AQ147" i="34" s="1"/>
  <c r="AR147" i="34" s="1"/>
  <c r="AS147" i="34" s="1"/>
  <c r="AT147" i="34" s="1"/>
  <c r="AU147" i="34" s="1"/>
  <c r="AV147" i="34" s="1"/>
  <c r="AW147" i="34" s="1"/>
  <c r="AX147" i="34" s="1"/>
  <c r="AY147" i="34" s="1"/>
  <c r="AZ147" i="34" s="1"/>
  <c r="BA147" i="34" s="1"/>
  <c r="BB147" i="34" s="1"/>
  <c r="BC147" i="34" s="1"/>
  <c r="BD147" i="34" s="1"/>
  <c r="BE147" i="34" s="1"/>
  <c r="BF147" i="34" s="1"/>
  <c r="BG147" i="34" s="1"/>
  <c r="BH147" i="34" s="1"/>
  <c r="BI147" i="34" s="1"/>
  <c r="BJ147" i="34" s="1"/>
  <c r="BK147" i="34" s="1"/>
  <c r="BL147" i="34" s="1"/>
  <c r="BM147" i="34" s="1"/>
  <c r="BN147" i="34" s="1"/>
  <c r="BO147" i="34" s="1"/>
  <c r="BP147" i="34" s="1"/>
  <c r="BQ147" i="34" s="1"/>
  <c r="BR147" i="34" s="1"/>
  <c r="BS147" i="34" s="1"/>
  <c r="BT147" i="34" s="1"/>
  <c r="BU147" i="34" s="1"/>
  <c r="BV147" i="34" s="1"/>
  <c r="BW147" i="34" s="1"/>
  <c r="BX147" i="34" s="1"/>
  <c r="BY147" i="34" s="1"/>
  <c r="BZ147" i="34" s="1"/>
  <c r="CA147" i="34" s="1"/>
  <c r="CB147" i="34" s="1"/>
  <c r="CC147" i="34" s="1"/>
  <c r="CD147" i="34" s="1"/>
  <c r="CE147" i="34" s="1"/>
  <c r="CF147" i="34" s="1"/>
  <c r="CG147" i="34" s="1"/>
  <c r="CH147" i="34" s="1"/>
  <c r="CI147" i="34" s="1"/>
  <c r="CJ147" i="34" s="1"/>
  <c r="CK147" i="34" s="1"/>
  <c r="CL147" i="34" s="1"/>
  <c r="CM147" i="34" s="1"/>
  <c r="CN147" i="34" s="1"/>
  <c r="CO147" i="34" s="1"/>
  <c r="CP147" i="34" s="1"/>
  <c r="CQ147" i="34" s="1"/>
  <c r="CR147" i="34" s="1"/>
  <c r="CS147" i="34" s="1"/>
  <c r="CT147" i="34" s="1"/>
  <c r="CU147" i="34" s="1"/>
  <c r="CV147" i="34" s="1"/>
  <c r="CW147" i="34" s="1"/>
  <c r="CX147" i="34" s="1"/>
  <c r="C146" i="34"/>
  <c r="D146" i="34" s="1"/>
  <c r="E146" i="34" s="1"/>
  <c r="F146" i="34" s="1"/>
  <c r="G146" i="34" s="1"/>
  <c r="H146" i="34" s="1"/>
  <c r="I146" i="34" s="1"/>
  <c r="J146" i="34" s="1"/>
  <c r="K146" i="34" s="1"/>
  <c r="L146" i="34" s="1"/>
  <c r="M146" i="34" s="1"/>
  <c r="N146" i="34" s="1"/>
  <c r="O146" i="34" s="1"/>
  <c r="P146" i="34" s="1"/>
  <c r="Q146" i="34" s="1"/>
  <c r="R146" i="34" s="1"/>
  <c r="S146" i="34" s="1"/>
  <c r="T146" i="34" s="1"/>
  <c r="U146" i="34" s="1"/>
  <c r="V146" i="34" s="1"/>
  <c r="W146" i="34" s="1"/>
  <c r="X146" i="34" s="1"/>
  <c r="Y146" i="34" s="1"/>
  <c r="Z146" i="34" s="1"/>
  <c r="AA146" i="34" s="1"/>
  <c r="AB146" i="34" s="1"/>
  <c r="AC146" i="34" s="1"/>
  <c r="AD146" i="34" s="1"/>
  <c r="AE146" i="34" s="1"/>
  <c r="AF146" i="34" s="1"/>
  <c r="AG146" i="34" s="1"/>
  <c r="AH146" i="34" s="1"/>
  <c r="AI146" i="34" s="1"/>
  <c r="AJ146" i="34" s="1"/>
  <c r="AK146" i="34" s="1"/>
  <c r="AL146" i="34" s="1"/>
  <c r="AM146" i="34" s="1"/>
  <c r="AN146" i="34" s="1"/>
  <c r="AO146" i="34" s="1"/>
  <c r="AP146" i="34" s="1"/>
  <c r="AQ146" i="34" s="1"/>
  <c r="AR146" i="34" s="1"/>
  <c r="AS146" i="34" s="1"/>
  <c r="AT146" i="34" s="1"/>
  <c r="AU146" i="34" s="1"/>
  <c r="AV146" i="34" s="1"/>
  <c r="AW146" i="34" s="1"/>
  <c r="AX146" i="34" s="1"/>
  <c r="AY146" i="34" s="1"/>
  <c r="AZ146" i="34" s="1"/>
  <c r="BA146" i="34" s="1"/>
  <c r="BB146" i="34" s="1"/>
  <c r="BC146" i="34" s="1"/>
  <c r="BD146" i="34" s="1"/>
  <c r="BE146" i="34" s="1"/>
  <c r="BF146" i="34" s="1"/>
  <c r="BG146" i="34" s="1"/>
  <c r="BH146" i="34" s="1"/>
  <c r="BI146" i="34" s="1"/>
  <c r="BJ146" i="34" s="1"/>
  <c r="BK146" i="34" s="1"/>
  <c r="BL146" i="34" s="1"/>
  <c r="BM146" i="34" s="1"/>
  <c r="BN146" i="34" s="1"/>
  <c r="BO146" i="34" s="1"/>
  <c r="BP146" i="34" s="1"/>
  <c r="BQ146" i="34" s="1"/>
  <c r="BR146" i="34" s="1"/>
  <c r="BS146" i="34" s="1"/>
  <c r="BT146" i="34" s="1"/>
  <c r="BU146" i="34" s="1"/>
  <c r="BV146" i="34" s="1"/>
  <c r="BW146" i="34" s="1"/>
  <c r="BX146" i="34" s="1"/>
  <c r="BY146" i="34" s="1"/>
  <c r="BZ146" i="34" s="1"/>
  <c r="CA146" i="34" s="1"/>
  <c r="CB146" i="34" s="1"/>
  <c r="CC146" i="34" s="1"/>
  <c r="CD146" i="34" s="1"/>
  <c r="CE146" i="34" s="1"/>
  <c r="CF146" i="34" s="1"/>
  <c r="CG146" i="34" s="1"/>
  <c r="CH146" i="34" s="1"/>
  <c r="CI146" i="34" s="1"/>
  <c r="CJ146" i="34" s="1"/>
  <c r="CK146" i="34" s="1"/>
  <c r="CL146" i="34" s="1"/>
  <c r="CM146" i="34" s="1"/>
  <c r="CN146" i="34" s="1"/>
  <c r="CO146" i="34" s="1"/>
  <c r="CP146" i="34" s="1"/>
  <c r="CQ146" i="34" s="1"/>
  <c r="CR146" i="34" s="1"/>
  <c r="CS146" i="34" s="1"/>
  <c r="CT146" i="34" s="1"/>
  <c r="CU146" i="34" s="1"/>
  <c r="CV146" i="34" s="1"/>
  <c r="CW146" i="34" s="1"/>
  <c r="CX146" i="34" s="1"/>
  <c r="B142" i="34"/>
  <c r="B138" i="34"/>
  <c r="B136" i="34"/>
  <c r="B135" i="34"/>
  <c r="B134" i="34"/>
  <c r="D128" i="34"/>
  <c r="E128" i="34" s="1"/>
  <c r="F128" i="34" s="1"/>
  <c r="G128" i="34" s="1"/>
  <c r="H128" i="34" s="1"/>
  <c r="I128" i="34" s="1"/>
  <c r="J128" i="34" s="1"/>
  <c r="K128" i="34" s="1"/>
  <c r="L128" i="34" s="1"/>
  <c r="M128" i="34" s="1"/>
  <c r="N128" i="34" s="1"/>
  <c r="O128" i="34" s="1"/>
  <c r="P128" i="34" s="1"/>
  <c r="Q128" i="34" s="1"/>
  <c r="R128" i="34" s="1"/>
  <c r="S128" i="34" s="1"/>
  <c r="T128" i="34" s="1"/>
  <c r="U128" i="34" s="1"/>
  <c r="V128" i="34" s="1"/>
  <c r="W128" i="34" s="1"/>
  <c r="X128" i="34" s="1"/>
  <c r="Y128" i="34" s="1"/>
  <c r="Z128" i="34" s="1"/>
  <c r="AA128" i="34" s="1"/>
  <c r="AB128" i="34" s="1"/>
  <c r="AC128" i="34" s="1"/>
  <c r="AD128" i="34" s="1"/>
  <c r="AE128" i="34" s="1"/>
  <c r="AF128" i="34" s="1"/>
  <c r="AG128" i="34" s="1"/>
  <c r="AH128" i="34" s="1"/>
  <c r="AI128" i="34" s="1"/>
  <c r="AJ128" i="34" s="1"/>
  <c r="AK128" i="34" s="1"/>
  <c r="AL128" i="34" s="1"/>
  <c r="AM128" i="34" s="1"/>
  <c r="AN128" i="34" s="1"/>
  <c r="AO128" i="34" s="1"/>
  <c r="AP128" i="34" s="1"/>
  <c r="AQ128" i="34" s="1"/>
  <c r="AR128" i="34" s="1"/>
  <c r="AS128" i="34" s="1"/>
  <c r="AT128" i="34" s="1"/>
  <c r="AU128" i="34" s="1"/>
  <c r="AV128" i="34" s="1"/>
  <c r="AW128" i="34" s="1"/>
  <c r="AX128" i="34" s="1"/>
  <c r="AY128" i="34" s="1"/>
  <c r="AZ128" i="34" s="1"/>
  <c r="BA128" i="34" s="1"/>
  <c r="BB128" i="34" s="1"/>
  <c r="BC128" i="34" s="1"/>
  <c r="BD128" i="34" s="1"/>
  <c r="BE128" i="34" s="1"/>
  <c r="BF128" i="34" s="1"/>
  <c r="BG128" i="34" s="1"/>
  <c r="BH128" i="34" s="1"/>
  <c r="BI128" i="34" s="1"/>
  <c r="BJ128" i="34" s="1"/>
  <c r="BK128" i="34" s="1"/>
  <c r="BL128" i="34" s="1"/>
  <c r="BM128" i="34" s="1"/>
  <c r="BN128" i="34" s="1"/>
  <c r="BO128" i="34" s="1"/>
  <c r="BP128" i="34" s="1"/>
  <c r="BQ128" i="34" s="1"/>
  <c r="BR128" i="34" s="1"/>
  <c r="BS128" i="34" s="1"/>
  <c r="BT128" i="34" s="1"/>
  <c r="BU128" i="34" s="1"/>
  <c r="BV128" i="34" s="1"/>
  <c r="BW128" i="34" s="1"/>
  <c r="BX128" i="34" s="1"/>
  <c r="BY128" i="34" s="1"/>
  <c r="BZ128" i="34" s="1"/>
  <c r="CA128" i="34" s="1"/>
  <c r="CB128" i="34" s="1"/>
  <c r="CC128" i="34" s="1"/>
  <c r="CD128" i="34" s="1"/>
  <c r="CE128" i="34" s="1"/>
  <c r="CF128" i="34" s="1"/>
  <c r="CG128" i="34" s="1"/>
  <c r="CH128" i="34" s="1"/>
  <c r="CI128" i="34" s="1"/>
  <c r="CJ128" i="34" s="1"/>
  <c r="CK128" i="34" s="1"/>
  <c r="CL128" i="34" s="1"/>
  <c r="CM128" i="34" s="1"/>
  <c r="CN128" i="34" s="1"/>
  <c r="CO128" i="34" s="1"/>
  <c r="CP128" i="34" s="1"/>
  <c r="CQ128" i="34" s="1"/>
  <c r="CR128" i="34" s="1"/>
  <c r="CS128" i="34" s="1"/>
  <c r="CT128" i="34" s="1"/>
  <c r="CU128" i="34" s="1"/>
  <c r="CV128" i="34" s="1"/>
  <c r="CW128" i="34" s="1"/>
  <c r="CX128" i="34" s="1"/>
  <c r="C127" i="34"/>
  <c r="D127" i="34" s="1"/>
  <c r="E127" i="34" s="1"/>
  <c r="F127" i="34" s="1"/>
  <c r="G127" i="34" s="1"/>
  <c r="H127" i="34" s="1"/>
  <c r="I127" i="34" s="1"/>
  <c r="J127" i="34" s="1"/>
  <c r="K127" i="34" s="1"/>
  <c r="L127" i="34" s="1"/>
  <c r="M127" i="34" s="1"/>
  <c r="N127" i="34" s="1"/>
  <c r="O127" i="34" s="1"/>
  <c r="P127" i="34" s="1"/>
  <c r="Q127" i="34" s="1"/>
  <c r="R127" i="34" s="1"/>
  <c r="S127" i="34" s="1"/>
  <c r="T127" i="34" s="1"/>
  <c r="U127" i="34" s="1"/>
  <c r="V127" i="34" s="1"/>
  <c r="W127" i="34" s="1"/>
  <c r="X127" i="34" s="1"/>
  <c r="Y127" i="34" s="1"/>
  <c r="Z127" i="34" s="1"/>
  <c r="AA127" i="34" s="1"/>
  <c r="AB127" i="34" s="1"/>
  <c r="AC127" i="34" s="1"/>
  <c r="AD127" i="34" s="1"/>
  <c r="AE127" i="34" s="1"/>
  <c r="AF127" i="34" s="1"/>
  <c r="AG127" i="34" s="1"/>
  <c r="AH127" i="34" s="1"/>
  <c r="AI127" i="34" s="1"/>
  <c r="AJ127" i="34" s="1"/>
  <c r="AK127" i="34" s="1"/>
  <c r="AL127" i="34" s="1"/>
  <c r="AM127" i="34" s="1"/>
  <c r="AN127" i="34" s="1"/>
  <c r="AO127" i="34" s="1"/>
  <c r="AP127" i="34" s="1"/>
  <c r="AQ127" i="34" s="1"/>
  <c r="AR127" i="34" s="1"/>
  <c r="AS127" i="34" s="1"/>
  <c r="AT127" i="34" s="1"/>
  <c r="AU127" i="34" s="1"/>
  <c r="AV127" i="34" s="1"/>
  <c r="AW127" i="34" s="1"/>
  <c r="AX127" i="34" s="1"/>
  <c r="AY127" i="34" s="1"/>
  <c r="AZ127" i="34" s="1"/>
  <c r="BA127" i="34" s="1"/>
  <c r="BB127" i="34" s="1"/>
  <c r="BC127" i="34" s="1"/>
  <c r="BD127" i="34" s="1"/>
  <c r="BE127" i="34" s="1"/>
  <c r="BF127" i="34" s="1"/>
  <c r="BG127" i="34" s="1"/>
  <c r="BH127" i="34" s="1"/>
  <c r="BI127" i="34" s="1"/>
  <c r="BJ127" i="34" s="1"/>
  <c r="BK127" i="34" s="1"/>
  <c r="BL127" i="34" s="1"/>
  <c r="BM127" i="34" s="1"/>
  <c r="BN127" i="34" s="1"/>
  <c r="BO127" i="34" s="1"/>
  <c r="BP127" i="34" s="1"/>
  <c r="BQ127" i="34" s="1"/>
  <c r="BR127" i="34" s="1"/>
  <c r="BS127" i="34" s="1"/>
  <c r="BT127" i="34" s="1"/>
  <c r="BU127" i="34" s="1"/>
  <c r="BV127" i="34" s="1"/>
  <c r="BW127" i="34" s="1"/>
  <c r="BX127" i="34" s="1"/>
  <c r="BY127" i="34" s="1"/>
  <c r="BZ127" i="34" s="1"/>
  <c r="CA127" i="34" s="1"/>
  <c r="CB127" i="34" s="1"/>
  <c r="CC127" i="34" s="1"/>
  <c r="CD127" i="34" s="1"/>
  <c r="CE127" i="34" s="1"/>
  <c r="CF127" i="34" s="1"/>
  <c r="CG127" i="34" s="1"/>
  <c r="CH127" i="34" s="1"/>
  <c r="CI127" i="34" s="1"/>
  <c r="CJ127" i="34" s="1"/>
  <c r="CK127" i="34" s="1"/>
  <c r="CL127" i="34" s="1"/>
  <c r="CM127" i="34" s="1"/>
  <c r="CN127" i="34" s="1"/>
  <c r="CO127" i="34" s="1"/>
  <c r="CP127" i="34" s="1"/>
  <c r="CQ127" i="34" s="1"/>
  <c r="CR127" i="34" s="1"/>
  <c r="CS127" i="34" s="1"/>
  <c r="CT127" i="34" s="1"/>
  <c r="CU127" i="34" s="1"/>
  <c r="CV127" i="34" s="1"/>
  <c r="CW127" i="34" s="1"/>
  <c r="CX127" i="34" s="1"/>
  <c r="B110" i="34"/>
  <c r="B109" i="34"/>
  <c r="B98" i="34"/>
  <c r="B87" i="34"/>
  <c r="D84" i="34"/>
  <c r="C83" i="34"/>
  <c r="D83" i="34" s="1"/>
  <c r="E83" i="34" s="1"/>
  <c r="F83" i="34" s="1"/>
  <c r="G83" i="34" s="1"/>
  <c r="H83" i="34" s="1"/>
  <c r="I83" i="34" s="1"/>
  <c r="J83" i="34" s="1"/>
  <c r="K83" i="34" s="1"/>
  <c r="L83" i="34" s="1"/>
  <c r="M83" i="34" s="1"/>
  <c r="N83" i="34" s="1"/>
  <c r="O83" i="34" s="1"/>
  <c r="P83" i="34" s="1"/>
  <c r="Q83" i="34" s="1"/>
  <c r="R83" i="34" s="1"/>
  <c r="S83" i="34" s="1"/>
  <c r="T83" i="34" s="1"/>
  <c r="U83" i="34" s="1"/>
  <c r="V83" i="34" s="1"/>
  <c r="W83" i="34" s="1"/>
  <c r="X83" i="34" s="1"/>
  <c r="Y83" i="34" s="1"/>
  <c r="Z83" i="34" s="1"/>
  <c r="AA83" i="34" s="1"/>
  <c r="AB83" i="34" s="1"/>
  <c r="AC83" i="34" s="1"/>
  <c r="AD83" i="34" s="1"/>
  <c r="AE83" i="34" s="1"/>
  <c r="AF83" i="34" s="1"/>
  <c r="AG83" i="34" s="1"/>
  <c r="AH83" i="34" s="1"/>
  <c r="AI83" i="34" s="1"/>
  <c r="AJ83" i="34" s="1"/>
  <c r="AK83" i="34" s="1"/>
  <c r="AL83" i="34" s="1"/>
  <c r="AM83" i="34" s="1"/>
  <c r="AN83" i="34" s="1"/>
  <c r="AO83" i="34" s="1"/>
  <c r="AP83" i="34" s="1"/>
  <c r="AQ83" i="34" s="1"/>
  <c r="AR83" i="34" s="1"/>
  <c r="AS83" i="34" s="1"/>
  <c r="AT83" i="34" s="1"/>
  <c r="AU83" i="34" s="1"/>
  <c r="AV83" i="34" s="1"/>
  <c r="AW83" i="34" s="1"/>
  <c r="AX83" i="34" s="1"/>
  <c r="AY83" i="34" s="1"/>
  <c r="AZ83" i="34" s="1"/>
  <c r="BA83" i="34" s="1"/>
  <c r="BB83" i="34" s="1"/>
  <c r="BC83" i="34" s="1"/>
  <c r="BD83" i="34" s="1"/>
  <c r="BE83" i="34" s="1"/>
  <c r="BF83" i="34" s="1"/>
  <c r="BG83" i="34" s="1"/>
  <c r="BH83" i="34" s="1"/>
  <c r="BI83" i="34" s="1"/>
  <c r="BJ83" i="34" s="1"/>
  <c r="BK83" i="34" s="1"/>
  <c r="BL83" i="34" s="1"/>
  <c r="BM83" i="34" s="1"/>
  <c r="BN83" i="34" s="1"/>
  <c r="BO83" i="34" s="1"/>
  <c r="BP83" i="34" s="1"/>
  <c r="BQ83" i="34" s="1"/>
  <c r="BR83" i="34" s="1"/>
  <c r="BS83" i="34" s="1"/>
  <c r="BT83" i="34" s="1"/>
  <c r="BU83" i="34" s="1"/>
  <c r="BV83" i="34" s="1"/>
  <c r="BW83" i="34" s="1"/>
  <c r="BX83" i="34" s="1"/>
  <c r="BY83" i="34" s="1"/>
  <c r="BZ83" i="34" s="1"/>
  <c r="CA83" i="34" s="1"/>
  <c r="CB83" i="34" s="1"/>
  <c r="CC83" i="34" s="1"/>
  <c r="CD83" i="34" s="1"/>
  <c r="CE83" i="34" s="1"/>
  <c r="CF83" i="34" s="1"/>
  <c r="CG83" i="34" s="1"/>
  <c r="CH83" i="34" s="1"/>
  <c r="CI83" i="34" s="1"/>
  <c r="CJ83" i="34" s="1"/>
  <c r="CK83" i="34" s="1"/>
  <c r="CL83" i="34" s="1"/>
  <c r="CM83" i="34" s="1"/>
  <c r="CN83" i="34" s="1"/>
  <c r="CO83" i="34" s="1"/>
  <c r="CP83" i="34" s="1"/>
  <c r="CQ83" i="34" s="1"/>
  <c r="CR83" i="34" s="1"/>
  <c r="CS83" i="34" s="1"/>
  <c r="CT83" i="34" s="1"/>
  <c r="CU83" i="34" s="1"/>
  <c r="CV83" i="34" s="1"/>
  <c r="CW83" i="34" s="1"/>
  <c r="CX83" i="34" s="1"/>
  <c r="B79" i="34"/>
  <c r="D77" i="34"/>
  <c r="C76" i="34"/>
  <c r="D76" i="34" s="1"/>
  <c r="E76" i="34" s="1"/>
  <c r="F76" i="34" s="1"/>
  <c r="G76" i="34" s="1"/>
  <c r="H76" i="34" s="1"/>
  <c r="I76" i="34" s="1"/>
  <c r="J76" i="34" s="1"/>
  <c r="K76" i="34" s="1"/>
  <c r="L76" i="34" s="1"/>
  <c r="M76" i="34" s="1"/>
  <c r="N76" i="34" s="1"/>
  <c r="O76" i="34" s="1"/>
  <c r="P76" i="34" s="1"/>
  <c r="Q76" i="34" s="1"/>
  <c r="R76" i="34" s="1"/>
  <c r="S76" i="34" s="1"/>
  <c r="T76" i="34" s="1"/>
  <c r="U76" i="34" s="1"/>
  <c r="V76" i="34" s="1"/>
  <c r="W76" i="34" s="1"/>
  <c r="X76" i="34" s="1"/>
  <c r="Y76" i="34" s="1"/>
  <c r="Z76" i="34" s="1"/>
  <c r="AA76" i="34" s="1"/>
  <c r="AB76" i="34" s="1"/>
  <c r="AC76" i="34" s="1"/>
  <c r="AD76" i="34" s="1"/>
  <c r="AE76" i="34" s="1"/>
  <c r="AF76" i="34" s="1"/>
  <c r="AG76" i="34" s="1"/>
  <c r="AH76" i="34" s="1"/>
  <c r="AI76" i="34" s="1"/>
  <c r="AJ76" i="34" s="1"/>
  <c r="AK76" i="34" s="1"/>
  <c r="AL76" i="34" s="1"/>
  <c r="AM76" i="34" s="1"/>
  <c r="AN76" i="34" s="1"/>
  <c r="AO76" i="34" s="1"/>
  <c r="AP76" i="34" s="1"/>
  <c r="AQ76" i="34" s="1"/>
  <c r="AR76" i="34" s="1"/>
  <c r="AS76" i="34" s="1"/>
  <c r="AT76" i="34" s="1"/>
  <c r="AU76" i="34" s="1"/>
  <c r="AV76" i="34" s="1"/>
  <c r="AW76" i="34" s="1"/>
  <c r="AX76" i="34" s="1"/>
  <c r="AY76" i="34" s="1"/>
  <c r="AZ76" i="34" s="1"/>
  <c r="BA76" i="34" s="1"/>
  <c r="BB76" i="34" s="1"/>
  <c r="BC76" i="34" s="1"/>
  <c r="BD76" i="34" s="1"/>
  <c r="BE76" i="34" s="1"/>
  <c r="BF76" i="34" s="1"/>
  <c r="BG76" i="34" s="1"/>
  <c r="BH76" i="34" s="1"/>
  <c r="BI76" i="34" s="1"/>
  <c r="BJ76" i="34" s="1"/>
  <c r="BK76" i="34" s="1"/>
  <c r="BL76" i="34" s="1"/>
  <c r="BM76" i="34" s="1"/>
  <c r="BN76" i="34" s="1"/>
  <c r="BO76" i="34" s="1"/>
  <c r="BP76" i="34" s="1"/>
  <c r="BQ76" i="34" s="1"/>
  <c r="BR76" i="34" s="1"/>
  <c r="BS76" i="34" s="1"/>
  <c r="BT76" i="34" s="1"/>
  <c r="BU76" i="34" s="1"/>
  <c r="BV76" i="34" s="1"/>
  <c r="BW76" i="34" s="1"/>
  <c r="BX76" i="34" s="1"/>
  <c r="BY76" i="34" s="1"/>
  <c r="BZ76" i="34" s="1"/>
  <c r="CA76" i="34" s="1"/>
  <c r="CB76" i="34" s="1"/>
  <c r="CC76" i="34" s="1"/>
  <c r="CD76" i="34" s="1"/>
  <c r="CE76" i="34" s="1"/>
  <c r="CF76" i="34" s="1"/>
  <c r="CG76" i="34" s="1"/>
  <c r="CH76" i="34" s="1"/>
  <c r="CI76" i="34" s="1"/>
  <c r="CJ76" i="34" s="1"/>
  <c r="CK76" i="34" s="1"/>
  <c r="CL76" i="34" s="1"/>
  <c r="CM76" i="34" s="1"/>
  <c r="CN76" i="34" s="1"/>
  <c r="CO76" i="34" s="1"/>
  <c r="CP76" i="34" s="1"/>
  <c r="CQ76" i="34" s="1"/>
  <c r="CR76" i="34" s="1"/>
  <c r="CS76" i="34" s="1"/>
  <c r="CT76" i="34" s="1"/>
  <c r="CU76" i="34" s="1"/>
  <c r="CV76" i="34" s="1"/>
  <c r="CW76" i="34" s="1"/>
  <c r="CX76" i="34" s="1"/>
  <c r="C63" i="34"/>
  <c r="C41" i="34"/>
  <c r="D107" i="34" l="1"/>
  <c r="C105" i="34"/>
  <c r="C106" i="34"/>
  <c r="D102" i="34"/>
  <c r="D103" i="34"/>
  <c r="C103" i="34"/>
  <c r="C102" i="34"/>
  <c r="D101" i="34"/>
  <c r="D99" i="34"/>
  <c r="D100" i="34"/>
  <c r="C99" i="34"/>
  <c r="C100" i="34"/>
  <c r="C101" i="34"/>
  <c r="C104" i="34"/>
  <c r="T79" i="34"/>
  <c r="C43" i="34"/>
  <c r="E77" i="34"/>
  <c r="D80" i="34"/>
  <c r="E84" i="34"/>
  <c r="C130" i="34"/>
  <c r="D130" i="34"/>
  <c r="E107" i="34" l="1"/>
  <c r="E103" i="34"/>
  <c r="E102" i="34"/>
  <c r="C132" i="34"/>
  <c r="E101" i="34"/>
  <c r="E100" i="34"/>
  <c r="E99" i="34"/>
  <c r="C110" i="34"/>
  <c r="C114" i="34" s="1"/>
  <c r="C150" i="34" s="1"/>
  <c r="D123" i="34"/>
  <c r="C123" i="34"/>
  <c r="U79" i="34"/>
  <c r="F77" i="34"/>
  <c r="G77" i="34" s="1"/>
  <c r="H77" i="34" s="1"/>
  <c r="I77" i="34" s="1"/>
  <c r="J77" i="34" s="1"/>
  <c r="K77" i="34" s="1"/>
  <c r="L77" i="34" s="1"/>
  <c r="M77" i="34" s="1"/>
  <c r="N77" i="34" s="1"/>
  <c r="O77" i="34" s="1"/>
  <c r="P77" i="34" s="1"/>
  <c r="Q77" i="34" s="1"/>
  <c r="R77" i="34" s="1"/>
  <c r="S77" i="34" s="1"/>
  <c r="T77" i="34" s="1"/>
  <c r="U77" i="34" s="1"/>
  <c r="V77" i="34" s="1"/>
  <c r="W77" i="34" s="1"/>
  <c r="X77" i="34" s="1"/>
  <c r="Y77" i="34" s="1"/>
  <c r="Z77" i="34" s="1"/>
  <c r="AA77" i="34" s="1"/>
  <c r="AB77" i="34" s="1"/>
  <c r="AC77" i="34" s="1"/>
  <c r="AD77" i="34" s="1"/>
  <c r="AE77" i="34" s="1"/>
  <c r="AF77" i="34" s="1"/>
  <c r="AG77" i="34" s="1"/>
  <c r="AH77" i="34" s="1"/>
  <c r="AI77" i="34" s="1"/>
  <c r="AJ77" i="34" s="1"/>
  <c r="AK77" i="34" s="1"/>
  <c r="AL77" i="34" s="1"/>
  <c r="AM77" i="34" s="1"/>
  <c r="AN77" i="34" s="1"/>
  <c r="AO77" i="34" s="1"/>
  <c r="AP77" i="34" s="1"/>
  <c r="AQ77" i="34" s="1"/>
  <c r="AR77" i="34" s="1"/>
  <c r="AS77" i="34" s="1"/>
  <c r="AT77" i="34" s="1"/>
  <c r="AU77" i="34" s="1"/>
  <c r="AV77" i="34" s="1"/>
  <c r="AW77" i="34" s="1"/>
  <c r="AX77" i="34" s="1"/>
  <c r="AY77" i="34" s="1"/>
  <c r="AZ77" i="34" s="1"/>
  <c r="BA77" i="34" s="1"/>
  <c r="BB77" i="34" s="1"/>
  <c r="BC77" i="34" s="1"/>
  <c r="BD77" i="34" s="1"/>
  <c r="BE77" i="34" s="1"/>
  <c r="BF77" i="34" s="1"/>
  <c r="BG77" i="34" s="1"/>
  <c r="BH77" i="34" s="1"/>
  <c r="BI77" i="34" s="1"/>
  <c r="BJ77" i="34" s="1"/>
  <c r="BK77" i="34" s="1"/>
  <c r="BL77" i="34" s="1"/>
  <c r="BM77" i="34" s="1"/>
  <c r="BN77" i="34" s="1"/>
  <c r="BO77" i="34" s="1"/>
  <c r="BP77" i="34" s="1"/>
  <c r="BQ77" i="34" s="1"/>
  <c r="BR77" i="34" s="1"/>
  <c r="BS77" i="34" s="1"/>
  <c r="BT77" i="34" s="1"/>
  <c r="BU77" i="34" s="1"/>
  <c r="BV77" i="34" s="1"/>
  <c r="BW77" i="34" s="1"/>
  <c r="BX77" i="34" s="1"/>
  <c r="BY77" i="34" s="1"/>
  <c r="BZ77" i="34" s="1"/>
  <c r="CA77" i="34" s="1"/>
  <c r="CB77" i="34" s="1"/>
  <c r="CC77" i="34" s="1"/>
  <c r="CD77" i="34" s="1"/>
  <c r="CE77" i="34" s="1"/>
  <c r="CF77" i="34" s="1"/>
  <c r="CG77" i="34" s="1"/>
  <c r="CH77" i="34" s="1"/>
  <c r="CI77" i="34" s="1"/>
  <c r="CJ77" i="34" s="1"/>
  <c r="CK77" i="34" s="1"/>
  <c r="CL77" i="34" s="1"/>
  <c r="CM77" i="34" s="1"/>
  <c r="CN77" i="34" s="1"/>
  <c r="CO77" i="34" s="1"/>
  <c r="CP77" i="34" s="1"/>
  <c r="CQ77" i="34" s="1"/>
  <c r="CR77" i="34" s="1"/>
  <c r="CS77" i="34" s="1"/>
  <c r="CT77" i="34" s="1"/>
  <c r="CU77" i="34" s="1"/>
  <c r="CV77" i="34" s="1"/>
  <c r="CW77" i="34" s="1"/>
  <c r="CX77" i="34" s="1"/>
  <c r="E80" i="34"/>
  <c r="E123" i="34"/>
  <c r="F84" i="34"/>
  <c r="E130" i="34"/>
  <c r="F107" i="34" l="1"/>
  <c r="F102" i="34"/>
  <c r="F103" i="34"/>
  <c r="F100" i="34"/>
  <c r="F101" i="34"/>
  <c r="F99" i="34"/>
  <c r="V79" i="34"/>
  <c r="C135" i="34"/>
  <c r="C136" i="34" s="1"/>
  <c r="C139" i="34"/>
  <c r="F123" i="34"/>
  <c r="F130" i="34"/>
  <c r="G84" i="34"/>
  <c r="C140" i="34" l="1"/>
  <c r="C149" i="34" s="1"/>
  <c r="G107" i="34"/>
  <c r="G102" i="34"/>
  <c r="G103" i="34"/>
  <c r="G100" i="34"/>
  <c r="G101" i="34"/>
  <c r="G99" i="34"/>
  <c r="W79" i="34"/>
  <c r="G123" i="34"/>
  <c r="G130" i="34"/>
  <c r="H84" i="34"/>
  <c r="H107" i="34" l="1"/>
  <c r="H102" i="34"/>
  <c r="H103" i="34"/>
  <c r="H100" i="34"/>
  <c r="H99" i="34"/>
  <c r="H101" i="34"/>
  <c r="X79" i="34"/>
  <c r="H123" i="34"/>
  <c r="I84" i="34"/>
  <c r="H130" i="34"/>
  <c r="I107" i="34" l="1"/>
  <c r="I102" i="34"/>
  <c r="I103" i="34"/>
  <c r="I99" i="34"/>
  <c r="I100" i="34"/>
  <c r="I101" i="34"/>
  <c r="Y79" i="34"/>
  <c r="I123" i="34"/>
  <c r="J84" i="34"/>
  <c r="I130" i="34"/>
  <c r="J107" i="34" l="1"/>
  <c r="J102" i="34"/>
  <c r="J103" i="34"/>
  <c r="J99" i="34"/>
  <c r="J100" i="34"/>
  <c r="J101" i="34"/>
  <c r="Z79" i="34"/>
  <c r="J123" i="34"/>
  <c r="K84" i="34"/>
  <c r="J130" i="34"/>
  <c r="K107" i="34" l="1"/>
  <c r="K102" i="34"/>
  <c r="K103" i="34"/>
  <c r="K101" i="34"/>
  <c r="K99" i="34"/>
  <c r="K100" i="34"/>
  <c r="AA79" i="34"/>
  <c r="K123" i="34"/>
  <c r="K130" i="34"/>
  <c r="L84" i="34"/>
  <c r="L107" i="34" l="1"/>
  <c r="L103" i="34"/>
  <c r="L102" i="34"/>
  <c r="L101" i="34"/>
  <c r="L99" i="34"/>
  <c r="L100" i="34"/>
  <c r="AB79" i="34"/>
  <c r="L123" i="34"/>
  <c r="L130" i="34"/>
  <c r="M84" i="34"/>
  <c r="M107" i="34" l="1"/>
  <c r="M103" i="34"/>
  <c r="M102" i="34"/>
  <c r="M122" i="34"/>
  <c r="M101" i="34"/>
  <c r="M99" i="34"/>
  <c r="M100" i="34"/>
  <c r="AC79" i="34"/>
  <c r="M123" i="34"/>
  <c r="N84" i="34"/>
  <c r="M130" i="34"/>
  <c r="N107" i="34" l="1"/>
  <c r="N103" i="34"/>
  <c r="N102" i="34"/>
  <c r="N122" i="34"/>
  <c r="N100" i="34"/>
  <c r="N101" i="34"/>
  <c r="N99" i="34"/>
  <c r="AD79" i="34"/>
  <c r="N123" i="34"/>
  <c r="N130" i="34"/>
  <c r="O84" i="34"/>
  <c r="O107" i="34" l="1"/>
  <c r="O103" i="34"/>
  <c r="O102" i="34"/>
  <c r="O122" i="34"/>
  <c r="O100" i="34"/>
  <c r="O101" i="34"/>
  <c r="O99" i="34"/>
  <c r="AE79" i="34"/>
  <c r="O123" i="34"/>
  <c r="O130" i="34"/>
  <c r="P84" i="34"/>
  <c r="P107" i="34" l="1"/>
  <c r="P102" i="34"/>
  <c r="P103" i="34"/>
  <c r="P122" i="34"/>
  <c r="P100" i="34"/>
  <c r="P101" i="34"/>
  <c r="P99" i="34"/>
  <c r="AF79" i="34"/>
  <c r="P123" i="34"/>
  <c r="P130" i="34"/>
  <c r="Q84" i="34"/>
  <c r="Q107" i="34" l="1"/>
  <c r="Q102" i="34"/>
  <c r="Q103" i="34"/>
  <c r="Q122" i="34"/>
  <c r="Q99" i="34"/>
  <c r="Q100" i="34"/>
  <c r="Q101" i="34"/>
  <c r="AG79" i="34"/>
  <c r="Q123" i="34"/>
  <c r="R84" i="34"/>
  <c r="Q130" i="34"/>
  <c r="R107" i="34" l="1"/>
  <c r="R102" i="34"/>
  <c r="R103" i="34"/>
  <c r="R122" i="34"/>
  <c r="R99" i="34"/>
  <c r="R100" i="34"/>
  <c r="R101" i="34"/>
  <c r="AH79" i="34"/>
  <c r="R123" i="34"/>
  <c r="R130" i="34"/>
  <c r="S84" i="34"/>
  <c r="S107" i="34" l="1"/>
  <c r="S102" i="34"/>
  <c r="S103" i="34"/>
  <c r="S122" i="34"/>
  <c r="S101" i="34"/>
  <c r="S99" i="34"/>
  <c r="S100" i="34"/>
  <c r="AI79" i="34"/>
  <c r="S123" i="34"/>
  <c r="T84" i="34"/>
  <c r="S130" i="34"/>
  <c r="T107" i="34" l="1"/>
  <c r="T103" i="34"/>
  <c r="T102" i="34"/>
  <c r="T122" i="34"/>
  <c r="T101" i="34"/>
  <c r="T99" i="34"/>
  <c r="T100" i="34"/>
  <c r="AJ79" i="34"/>
  <c r="T123" i="34"/>
  <c r="U84" i="34"/>
  <c r="T130" i="34"/>
  <c r="U107" i="34" l="1"/>
  <c r="U103" i="34"/>
  <c r="U102" i="34"/>
  <c r="U122" i="34"/>
  <c r="U101" i="34"/>
  <c r="U99" i="34"/>
  <c r="U100" i="34"/>
  <c r="AK79" i="34"/>
  <c r="U123" i="34"/>
  <c r="V84" i="34"/>
  <c r="U130" i="34"/>
  <c r="V107" i="34" l="1"/>
  <c r="V103" i="34"/>
  <c r="V102" i="34"/>
  <c r="V122" i="34"/>
  <c r="V100" i="34"/>
  <c r="V101" i="34"/>
  <c r="V99" i="34"/>
  <c r="AL79" i="34"/>
  <c r="V123" i="34"/>
  <c r="W84" i="34"/>
  <c r="V130" i="34"/>
  <c r="W107" i="34" l="1"/>
  <c r="W103" i="34"/>
  <c r="W102" i="34"/>
  <c r="W100" i="34"/>
  <c r="W101" i="34"/>
  <c r="W99" i="34"/>
  <c r="AM79" i="34"/>
  <c r="X84" i="34"/>
  <c r="W122" i="34"/>
  <c r="W130" i="34"/>
  <c r="W123" i="34"/>
  <c r="X102" i="34" l="1"/>
  <c r="X103" i="34"/>
  <c r="X122" i="34"/>
  <c r="X100" i="34"/>
  <c r="X99" i="34"/>
  <c r="X101" i="34"/>
  <c r="AN79" i="34"/>
  <c r="Y84" i="34"/>
  <c r="X123" i="34"/>
  <c r="X130" i="34"/>
  <c r="Y102" i="34" l="1"/>
  <c r="Y103" i="34"/>
  <c r="Y122" i="34"/>
  <c r="Y99" i="34"/>
  <c r="Y100" i="34"/>
  <c r="Y101" i="34"/>
  <c r="AO79" i="34"/>
  <c r="Z84" i="34"/>
  <c r="Y130" i="34"/>
  <c r="Y123" i="34"/>
  <c r="Z107" i="34" l="1"/>
  <c r="Z102" i="34"/>
  <c r="Z103" i="34"/>
  <c r="Z122" i="34"/>
  <c r="Z99" i="34"/>
  <c r="Z101" i="34"/>
  <c r="Z100" i="34"/>
  <c r="AP79" i="34"/>
  <c r="Z123" i="34"/>
  <c r="AA84" i="34"/>
  <c r="Z130" i="34"/>
  <c r="AA107" i="34" l="1"/>
  <c r="AA103" i="34"/>
  <c r="AA102" i="34"/>
  <c r="AA122" i="34"/>
  <c r="AA101" i="34"/>
  <c r="AA99" i="34"/>
  <c r="AA100" i="34"/>
  <c r="AB84" i="34"/>
  <c r="AA130" i="34"/>
  <c r="AA123" i="34"/>
  <c r="AQ79" i="34"/>
  <c r="AB102" i="34" l="1"/>
  <c r="AB103" i="34"/>
  <c r="AB122" i="34"/>
  <c r="AB101" i="34"/>
  <c r="AB99" i="34"/>
  <c r="AB100" i="34"/>
  <c r="AB130" i="34"/>
  <c r="AC84" i="34"/>
  <c r="AB123" i="34"/>
  <c r="AR79" i="34"/>
  <c r="AC107" i="34" l="1"/>
  <c r="AC103" i="34"/>
  <c r="AC102" i="34"/>
  <c r="AC122" i="34"/>
  <c r="AC101" i="34"/>
  <c r="AC100" i="34"/>
  <c r="AC99" i="34"/>
  <c r="AC130" i="34"/>
  <c r="AC123" i="34"/>
  <c r="AD84" i="34"/>
  <c r="AS79" i="34"/>
  <c r="AD123" i="34" l="1"/>
  <c r="AD103" i="34"/>
  <c r="AD102" i="34"/>
  <c r="AD130" i="34"/>
  <c r="AD122" i="34"/>
  <c r="AD100" i="34"/>
  <c r="AD101" i="34"/>
  <c r="AD99" i="34"/>
  <c r="AE84" i="34"/>
  <c r="AT79" i="34"/>
  <c r="AE107" i="34" l="1"/>
  <c r="AE102" i="34"/>
  <c r="AE103" i="34"/>
  <c r="AE122" i="34"/>
  <c r="AE100" i="34"/>
  <c r="AE101" i="34"/>
  <c r="AE99" i="34"/>
  <c r="AF84" i="34"/>
  <c r="AE130" i="34"/>
  <c r="AE123" i="34"/>
  <c r="AU79" i="34"/>
  <c r="AF107" i="34" l="1"/>
  <c r="AF102" i="34"/>
  <c r="AF103" i="34"/>
  <c r="AF122" i="34"/>
  <c r="AF100" i="34"/>
  <c r="AF99" i="34"/>
  <c r="AF101" i="34"/>
  <c r="AG84" i="34"/>
  <c r="AF123" i="34"/>
  <c r="AF130" i="34"/>
  <c r="AV79" i="34"/>
  <c r="AG102" i="34" l="1"/>
  <c r="AG103" i="34"/>
  <c r="AG122" i="34"/>
  <c r="AG99" i="34"/>
  <c r="AG100" i="34"/>
  <c r="AG101" i="34"/>
  <c r="AG130" i="34"/>
  <c r="AG123" i="34"/>
  <c r="AH84" i="34"/>
  <c r="AW79" i="34"/>
  <c r="AH102" i="34" l="1"/>
  <c r="AH103" i="34"/>
  <c r="AH123" i="34"/>
  <c r="AH122" i="34"/>
  <c r="AH99" i="34"/>
  <c r="AH100" i="34"/>
  <c r="AH101" i="34"/>
  <c r="AI84" i="34"/>
  <c r="AH130" i="34"/>
  <c r="AX79" i="34"/>
  <c r="AI123" i="34" l="1"/>
  <c r="AI102" i="34"/>
  <c r="AI103" i="34"/>
  <c r="AI130" i="34"/>
  <c r="AJ84" i="34"/>
  <c r="AI122" i="34"/>
  <c r="AI101" i="34"/>
  <c r="AI99" i="34"/>
  <c r="AI100" i="34"/>
  <c r="AY79" i="34"/>
  <c r="AJ107" i="34" l="1"/>
  <c r="AJ101" i="34"/>
  <c r="AJ102" i="34"/>
  <c r="AJ103" i="34"/>
  <c r="AK84" i="34"/>
  <c r="AL84" i="34" s="1"/>
  <c r="AJ100" i="34"/>
  <c r="AJ123" i="34"/>
  <c r="AJ99" i="34"/>
  <c r="AJ122" i="34"/>
  <c r="AJ130" i="34"/>
  <c r="AZ79" i="34"/>
  <c r="AK101" i="34" l="1"/>
  <c r="AK107" i="34"/>
  <c r="AL107" i="34"/>
  <c r="AK100" i="34"/>
  <c r="AK99" i="34"/>
  <c r="AK103" i="34"/>
  <c r="AK102" i="34"/>
  <c r="AL103" i="34"/>
  <c r="AL102" i="34"/>
  <c r="AK122" i="34"/>
  <c r="AK130" i="34"/>
  <c r="AK123" i="34"/>
  <c r="AL122" i="34"/>
  <c r="AL100" i="34"/>
  <c r="AL101" i="34"/>
  <c r="AL99" i="34"/>
  <c r="BA79" i="34"/>
  <c r="AL123" i="34"/>
  <c r="AL130" i="34"/>
  <c r="AM84" i="34"/>
  <c r="AM107" i="34" l="1"/>
  <c r="AM102" i="34"/>
  <c r="AM103" i="34"/>
  <c r="AM122" i="34"/>
  <c r="AM100" i="34"/>
  <c r="AM101" i="34"/>
  <c r="AM99" i="34"/>
  <c r="BB79" i="34"/>
  <c r="AM123" i="34"/>
  <c r="AM130" i="34"/>
  <c r="AN84" i="34"/>
  <c r="AN107" i="34" l="1"/>
  <c r="AN102" i="34"/>
  <c r="AN103" i="34"/>
  <c r="AN122" i="34"/>
  <c r="AN100" i="34"/>
  <c r="AN99" i="34"/>
  <c r="AN101" i="34"/>
  <c r="BC79" i="34"/>
  <c r="AN123" i="34"/>
  <c r="AN130" i="34"/>
  <c r="AO84" i="34"/>
  <c r="AO107" i="34" l="1"/>
  <c r="AO102" i="34"/>
  <c r="AO103" i="34"/>
  <c r="AO122" i="34"/>
  <c r="AO99" i="34"/>
  <c r="AO100" i="34"/>
  <c r="AO101" i="34"/>
  <c r="BD79" i="34"/>
  <c r="AO123" i="34"/>
  <c r="AO130" i="34"/>
  <c r="AP84" i="34"/>
  <c r="AP102" i="34" l="1"/>
  <c r="AP103" i="34"/>
  <c r="AP122" i="34"/>
  <c r="AP99" i="34"/>
  <c r="AP101" i="34"/>
  <c r="AP100" i="34"/>
  <c r="BE79" i="34"/>
  <c r="AP123" i="34"/>
  <c r="AP130" i="34"/>
  <c r="AQ84" i="34"/>
  <c r="AQ107" i="34" l="1"/>
  <c r="AQ103" i="34"/>
  <c r="AQ102" i="34"/>
  <c r="AQ122" i="34"/>
  <c r="AQ101" i="34"/>
  <c r="AQ99" i="34"/>
  <c r="AQ100" i="34"/>
  <c r="BF79" i="34"/>
  <c r="AQ123" i="34"/>
  <c r="AQ130" i="34"/>
  <c r="AR84" i="34"/>
  <c r="AR107" i="34" l="1"/>
  <c r="AR103" i="34"/>
  <c r="AR102" i="34"/>
  <c r="AR122" i="34"/>
  <c r="AR101" i="34"/>
  <c r="AR99" i="34"/>
  <c r="AR100" i="34"/>
  <c r="BG79" i="34"/>
  <c r="AR123" i="34"/>
  <c r="AR124" i="34"/>
  <c r="AR151" i="34" s="1"/>
  <c r="AR130" i="34"/>
  <c r="AS84" i="34"/>
  <c r="AS107" i="34" l="1"/>
  <c r="AS103" i="34"/>
  <c r="AS102" i="34"/>
  <c r="AS122" i="34"/>
  <c r="AS101" i="34"/>
  <c r="AS99" i="34"/>
  <c r="AS100" i="34"/>
  <c r="BH79" i="34"/>
  <c r="AS123" i="34"/>
  <c r="AS124" i="34"/>
  <c r="AS151" i="34" s="1"/>
  <c r="AS130" i="34"/>
  <c r="AT84" i="34"/>
  <c r="AT107" i="34" l="1"/>
  <c r="AT103" i="34"/>
  <c r="AT102" i="34"/>
  <c r="AT122" i="34"/>
  <c r="AT100" i="34"/>
  <c r="AT101" i="34"/>
  <c r="AT99" i="34"/>
  <c r="BI79" i="34"/>
  <c r="AT123" i="34"/>
  <c r="AT124" i="34" s="1"/>
  <c r="AT151" i="34" s="1"/>
  <c r="AT130" i="34"/>
  <c r="AU84" i="34"/>
  <c r="AU107" i="34" l="1"/>
  <c r="AU103" i="34"/>
  <c r="AU102" i="34"/>
  <c r="AU122" i="34"/>
  <c r="AU100" i="34"/>
  <c r="AU101" i="34"/>
  <c r="AU99" i="34"/>
  <c r="BJ79" i="34"/>
  <c r="AU123" i="34"/>
  <c r="AU124" i="34"/>
  <c r="AU151" i="34" s="1"/>
  <c r="AU130" i="34"/>
  <c r="AV84" i="34"/>
  <c r="AV107" i="34" l="1"/>
  <c r="AV102" i="34"/>
  <c r="AV103" i="34"/>
  <c r="AV122" i="34"/>
  <c r="AV100" i="34"/>
  <c r="AV101" i="34"/>
  <c r="AV99" i="34"/>
  <c r="BK79" i="34"/>
  <c r="AV123" i="34"/>
  <c r="AV124" i="34"/>
  <c r="AV151" i="34" s="1"/>
  <c r="AV130" i="34"/>
  <c r="AW84" i="34"/>
  <c r="AW107" i="34" l="1"/>
  <c r="AW102" i="34"/>
  <c r="AW103" i="34"/>
  <c r="AW122" i="34"/>
  <c r="AW99" i="34"/>
  <c r="AW100" i="34"/>
  <c r="AW101" i="34"/>
  <c r="BL79" i="34"/>
  <c r="AW123" i="34"/>
  <c r="AW124" i="34"/>
  <c r="AW151" i="34" s="1"/>
  <c r="AW130" i="34"/>
  <c r="AX84" i="34"/>
  <c r="AX107" i="34" l="1"/>
  <c r="AX102" i="34"/>
  <c r="AX103" i="34"/>
  <c r="AX122" i="34"/>
  <c r="AX99" i="34"/>
  <c r="AX100" i="34"/>
  <c r="AX101" i="34"/>
  <c r="BM79" i="34"/>
  <c r="AX123" i="34"/>
  <c r="AX124" i="34"/>
  <c r="AX151" i="34" s="1"/>
  <c r="AX130" i="34"/>
  <c r="AY84" i="34"/>
  <c r="AY107" i="34" l="1"/>
  <c r="AY102" i="34"/>
  <c r="AY103" i="34"/>
  <c r="AY122" i="34"/>
  <c r="AY101" i="34"/>
  <c r="AY99" i="34"/>
  <c r="AY100" i="34"/>
  <c r="BN79" i="34"/>
  <c r="AY123" i="34"/>
  <c r="AY124" i="34"/>
  <c r="AY151" i="34" s="1"/>
  <c r="AY130" i="34"/>
  <c r="AZ84" i="34"/>
  <c r="AZ107" i="34" l="1"/>
  <c r="AZ103" i="34"/>
  <c r="AZ102" i="34"/>
  <c r="AZ122" i="34"/>
  <c r="AZ101" i="34"/>
  <c r="AZ99" i="34"/>
  <c r="AZ100" i="34"/>
  <c r="BO79" i="34"/>
  <c r="AZ123" i="34"/>
  <c r="AZ124" i="34"/>
  <c r="AZ151" i="34" s="1"/>
  <c r="AZ130" i="34"/>
  <c r="BA84" i="34"/>
  <c r="BA103" i="34" l="1"/>
  <c r="BA102" i="34"/>
  <c r="BA122" i="34"/>
  <c r="BA101" i="34"/>
  <c r="BA99" i="34"/>
  <c r="BA100" i="34"/>
  <c r="BP79" i="34"/>
  <c r="BA123" i="34"/>
  <c r="BA124" i="34" s="1"/>
  <c r="BA151" i="34" s="1"/>
  <c r="BA130" i="34"/>
  <c r="BB84" i="34"/>
  <c r="BB107" i="34" l="1"/>
  <c r="BB103" i="34"/>
  <c r="BB102" i="34"/>
  <c r="BB122" i="34"/>
  <c r="BB100" i="34"/>
  <c r="BB101" i="34"/>
  <c r="BB99" i="34"/>
  <c r="BQ79" i="34"/>
  <c r="BB123" i="34"/>
  <c r="BB124" i="34"/>
  <c r="BB151" i="34" s="1"/>
  <c r="BB130" i="34"/>
  <c r="BC84" i="34"/>
  <c r="BC102" i="34" l="1"/>
  <c r="BC103" i="34"/>
  <c r="BC122" i="34"/>
  <c r="BC100" i="34"/>
  <c r="BC101" i="34"/>
  <c r="BC99" i="34"/>
  <c r="BR79" i="34"/>
  <c r="BC123" i="34"/>
  <c r="BC124" i="34"/>
  <c r="BC151" i="34" s="1"/>
  <c r="BC130" i="34"/>
  <c r="BD84" i="34"/>
  <c r="BD106" i="34" l="1"/>
  <c r="BD107" i="34"/>
  <c r="BD102" i="34"/>
  <c r="BD103" i="34"/>
  <c r="BD122" i="34"/>
  <c r="BD104" i="34"/>
  <c r="BD100" i="34"/>
  <c r="BD105" i="34"/>
  <c r="BD99" i="34"/>
  <c r="BD101" i="34"/>
  <c r="BS79" i="34"/>
  <c r="BD123" i="34"/>
  <c r="BD124" i="34"/>
  <c r="BD151" i="34" s="1"/>
  <c r="BD130" i="34"/>
  <c r="BE84" i="34"/>
  <c r="BE107" i="34" l="1"/>
  <c r="BE106" i="34"/>
  <c r="BE102" i="34"/>
  <c r="BE103" i="34"/>
  <c r="BE122" i="34"/>
  <c r="BE99" i="34"/>
  <c r="BE104" i="34"/>
  <c r="BE100" i="34"/>
  <c r="BE105" i="34"/>
  <c r="BE101" i="34"/>
  <c r="BT79" i="34"/>
  <c r="BD132" i="34"/>
  <c r="BE123" i="34"/>
  <c r="BE124" i="34"/>
  <c r="BE151" i="34" s="1"/>
  <c r="BE130" i="34"/>
  <c r="BF84" i="34"/>
  <c r="BD135" i="34" l="1"/>
  <c r="BD136" i="34" s="1"/>
  <c r="BF107" i="34"/>
  <c r="BF106" i="34"/>
  <c r="BF102" i="34"/>
  <c r="BF103" i="34"/>
  <c r="BF122" i="34"/>
  <c r="BF99" i="34"/>
  <c r="BF104" i="34"/>
  <c r="BF100" i="34"/>
  <c r="BF105" i="34"/>
  <c r="BF101" i="34"/>
  <c r="BU79" i="34"/>
  <c r="BD139" i="34"/>
  <c r="BD140" i="34" s="1"/>
  <c r="BE132" i="34"/>
  <c r="BF123" i="34"/>
  <c r="BF124" i="34"/>
  <c r="BF151" i="34" s="1"/>
  <c r="BF130" i="34"/>
  <c r="BG84" i="34"/>
  <c r="BE139" i="34" l="1"/>
  <c r="BE140" i="34" s="1"/>
  <c r="BE149" i="34" s="1"/>
  <c r="BG107" i="34"/>
  <c r="BG106" i="34"/>
  <c r="BG102" i="34"/>
  <c r="BG103" i="34"/>
  <c r="BG122" i="34"/>
  <c r="BG101" i="34"/>
  <c r="BG99" i="34"/>
  <c r="BG104" i="34"/>
  <c r="BG100" i="34"/>
  <c r="BG105" i="34"/>
  <c r="BV79" i="34"/>
  <c r="BD149" i="34"/>
  <c r="BF132" i="34"/>
  <c r="BE135" i="34"/>
  <c r="BE136" i="34" s="1"/>
  <c r="BG123" i="34"/>
  <c r="BG124" i="34" s="1"/>
  <c r="BG151" i="34" s="1"/>
  <c r="BG130" i="34"/>
  <c r="BH84" i="34"/>
  <c r="BF139" i="34" l="1"/>
  <c r="BF140" i="34" s="1"/>
  <c r="BF149" i="34" s="1"/>
  <c r="BH107" i="34"/>
  <c r="BH106" i="34"/>
  <c r="BH102" i="34"/>
  <c r="BH103" i="34"/>
  <c r="BH122" i="34"/>
  <c r="BH101" i="34"/>
  <c r="BH99" i="34"/>
  <c r="BH104" i="34"/>
  <c r="BH100" i="34"/>
  <c r="BH105" i="34"/>
  <c r="BW79" i="34"/>
  <c r="BF135" i="34"/>
  <c r="BF136" i="34" s="1"/>
  <c r="BG132" i="34"/>
  <c r="BH123" i="34"/>
  <c r="BH124" i="34" s="1"/>
  <c r="BH151" i="34" s="1"/>
  <c r="BH130" i="34"/>
  <c r="BI84" i="34"/>
  <c r="BG139" i="34" l="1"/>
  <c r="BG140" i="34" s="1"/>
  <c r="BG149" i="34" s="1"/>
  <c r="BI107" i="34"/>
  <c r="BI106" i="34"/>
  <c r="BI103" i="34"/>
  <c r="BI102" i="34"/>
  <c r="BI122" i="34"/>
  <c r="BI105" i="34"/>
  <c r="BI101" i="34"/>
  <c r="BI100" i="34"/>
  <c r="BI99" i="34"/>
  <c r="BI104" i="34"/>
  <c r="BX79" i="34"/>
  <c r="BG135" i="34"/>
  <c r="BG136" i="34" s="1"/>
  <c r="BH132" i="34"/>
  <c r="BI123" i="34"/>
  <c r="BI124" i="34" s="1"/>
  <c r="BI151" i="34" s="1"/>
  <c r="BI130" i="34"/>
  <c r="BJ84" i="34"/>
  <c r="BH139" i="34" l="1"/>
  <c r="BH140" i="34" s="1"/>
  <c r="BH149" i="34" s="1"/>
  <c r="BJ106" i="34"/>
  <c r="BJ107" i="34"/>
  <c r="BJ103" i="34"/>
  <c r="BJ102" i="34"/>
  <c r="BJ122" i="34"/>
  <c r="BJ100" i="34"/>
  <c r="BJ105" i="34"/>
  <c r="BJ101" i="34"/>
  <c r="BJ99" i="34"/>
  <c r="BJ104" i="34"/>
  <c r="BY79" i="34"/>
  <c r="BH135" i="34"/>
  <c r="BH136" i="34" s="1"/>
  <c r="BI132" i="34"/>
  <c r="BJ123" i="34"/>
  <c r="BJ124" i="34"/>
  <c r="BJ151" i="34" s="1"/>
  <c r="BJ130" i="34"/>
  <c r="BK84" i="34"/>
  <c r="BI135" i="34" l="1"/>
  <c r="BI136" i="34" s="1"/>
  <c r="BK106" i="34"/>
  <c r="BK107" i="34"/>
  <c r="BK103" i="34"/>
  <c r="BK102" i="34"/>
  <c r="BK122" i="34"/>
  <c r="BK100" i="34"/>
  <c r="BK105" i="34"/>
  <c r="BK101" i="34"/>
  <c r="BK99" i="34"/>
  <c r="BK104" i="34"/>
  <c r="BZ79" i="34"/>
  <c r="BI139" i="34"/>
  <c r="BI140" i="34" s="1"/>
  <c r="BJ132" i="34"/>
  <c r="BK123" i="34"/>
  <c r="BK124" i="34" s="1"/>
  <c r="BK151" i="34" s="1"/>
  <c r="BK130" i="34"/>
  <c r="BL84" i="34"/>
  <c r="BJ135" i="34" l="1"/>
  <c r="BJ136" i="34" s="1"/>
  <c r="BL106" i="34"/>
  <c r="BL107" i="34"/>
  <c r="BL102" i="34"/>
  <c r="BL103" i="34"/>
  <c r="BL122" i="34"/>
  <c r="BL104" i="34"/>
  <c r="BL100" i="34"/>
  <c r="BL105" i="34"/>
  <c r="BL99" i="34"/>
  <c r="BL101" i="34"/>
  <c r="CA79" i="34"/>
  <c r="BI149" i="34"/>
  <c r="BJ139" i="34"/>
  <c r="BJ140" i="34" s="1"/>
  <c r="BK132" i="34"/>
  <c r="BL123" i="34"/>
  <c r="BL124" i="34"/>
  <c r="BL151" i="34" s="1"/>
  <c r="BL130" i="34"/>
  <c r="BM84" i="34"/>
  <c r="BK110" i="34"/>
  <c r="BK135" i="34" l="1"/>
  <c r="BK136" i="34" s="1"/>
  <c r="BM107" i="34"/>
  <c r="BM106" i="34"/>
  <c r="BM102" i="34"/>
  <c r="BM103" i="34"/>
  <c r="BM122" i="34"/>
  <c r="BM99" i="34"/>
  <c r="BM104" i="34"/>
  <c r="BM100" i="34"/>
  <c r="BM105" i="34"/>
  <c r="BM101" i="34"/>
  <c r="BJ149" i="34"/>
  <c r="CB79" i="34"/>
  <c r="BK139" i="34"/>
  <c r="BK140" i="34" s="1"/>
  <c r="BL132" i="34"/>
  <c r="BK114" i="34"/>
  <c r="BK150" i="34" s="1"/>
  <c r="BM123" i="34"/>
  <c r="BM124" i="34"/>
  <c r="BM151" i="34" s="1"/>
  <c r="BL110" i="34"/>
  <c r="BM130" i="34"/>
  <c r="BN84" i="34"/>
  <c r="BL139" i="34" l="1"/>
  <c r="BL140" i="34" s="1"/>
  <c r="BN107" i="34"/>
  <c r="BN106" i="34"/>
  <c r="BN102" i="34"/>
  <c r="BN103" i="34"/>
  <c r="BN122" i="34"/>
  <c r="BN99" i="34"/>
  <c r="BN104" i="34"/>
  <c r="BN100" i="34"/>
  <c r="BN105" i="34"/>
  <c r="BN101" i="34"/>
  <c r="CC79" i="34"/>
  <c r="BL135" i="34"/>
  <c r="BL136" i="34" s="1"/>
  <c r="BK149" i="34"/>
  <c r="BM132" i="34"/>
  <c r="BL114" i="34"/>
  <c r="BL150" i="34" s="1"/>
  <c r="BN123" i="34"/>
  <c r="BN124" i="34"/>
  <c r="BN151" i="34" s="1"/>
  <c r="BN130" i="34"/>
  <c r="BO84" i="34"/>
  <c r="BM110" i="34"/>
  <c r="BM135" i="34" l="1"/>
  <c r="BM136" i="34" s="1"/>
  <c r="BL149" i="34"/>
  <c r="BO107" i="34"/>
  <c r="BO106" i="34"/>
  <c r="BO102" i="34"/>
  <c r="BO103" i="34"/>
  <c r="BO122" i="34"/>
  <c r="BO101" i="34"/>
  <c r="BO99" i="34"/>
  <c r="BO104" i="34"/>
  <c r="BO100" i="34"/>
  <c r="BO105" i="34"/>
  <c r="CD79" i="34"/>
  <c r="BM139" i="34"/>
  <c r="BM140" i="34" s="1"/>
  <c r="BN132" i="34"/>
  <c r="BM114" i="34"/>
  <c r="BM150" i="34" s="1"/>
  <c r="BO123" i="34"/>
  <c r="BO124" i="34"/>
  <c r="BO151" i="34" s="1"/>
  <c r="BO130" i="34"/>
  <c r="BP84" i="34"/>
  <c r="BN110" i="34"/>
  <c r="BN135" i="34" l="1"/>
  <c r="BN136" i="34" s="1"/>
  <c r="BP107" i="34"/>
  <c r="BP106" i="34"/>
  <c r="BP102" i="34"/>
  <c r="BP103" i="34"/>
  <c r="BP122" i="34"/>
  <c r="BP101" i="34"/>
  <c r="BP99" i="34"/>
  <c r="BP104" i="34"/>
  <c r="BP100" i="34"/>
  <c r="BP105" i="34"/>
  <c r="CE79" i="34"/>
  <c r="BN139" i="34"/>
  <c r="BN140" i="34" s="1"/>
  <c r="BM149" i="34"/>
  <c r="BO132" i="34"/>
  <c r="BN114" i="34"/>
  <c r="BN150" i="34" s="1"/>
  <c r="BP123" i="34"/>
  <c r="BP124" i="34"/>
  <c r="BP151" i="34" s="1"/>
  <c r="BO110" i="34"/>
  <c r="BP130" i="34"/>
  <c r="BQ84" i="34"/>
  <c r="BO135" i="34" l="1"/>
  <c r="BO136" i="34" s="1"/>
  <c r="BQ106" i="34"/>
  <c r="BQ107" i="34"/>
  <c r="BQ103" i="34"/>
  <c r="BQ102" i="34"/>
  <c r="BQ122" i="34"/>
  <c r="BQ105" i="34"/>
  <c r="BQ101" i="34"/>
  <c r="BQ99" i="34"/>
  <c r="BQ100" i="34"/>
  <c r="BQ104" i="34"/>
  <c r="CF79" i="34"/>
  <c r="BN149" i="34"/>
  <c r="BO139" i="34"/>
  <c r="BO140" i="34" s="1"/>
  <c r="BP132" i="34"/>
  <c r="BO114" i="34"/>
  <c r="BO150" i="34" s="1"/>
  <c r="BQ123" i="34"/>
  <c r="BQ124" i="34"/>
  <c r="BQ151" i="34" s="1"/>
  <c r="BQ130" i="34"/>
  <c r="BR84" i="34"/>
  <c r="BP110" i="34"/>
  <c r="BP139" i="34" l="1"/>
  <c r="BP140" i="34" s="1"/>
  <c r="BP149" i="34" s="1"/>
  <c r="BR106" i="34"/>
  <c r="BR107" i="34"/>
  <c r="BR103" i="34"/>
  <c r="BR102" i="34"/>
  <c r="BR122" i="34"/>
  <c r="BR100" i="34"/>
  <c r="BR105" i="34"/>
  <c r="BR101" i="34"/>
  <c r="BR99" i="34"/>
  <c r="BR104" i="34"/>
  <c r="BO149" i="34"/>
  <c r="CG79" i="34"/>
  <c r="BP135" i="34"/>
  <c r="BP136" i="34" s="1"/>
  <c r="BQ132" i="34"/>
  <c r="BP114" i="34"/>
  <c r="BP150" i="34" s="1"/>
  <c r="BR123" i="34"/>
  <c r="BR124" i="34"/>
  <c r="BR151" i="34" s="1"/>
  <c r="BQ110" i="34"/>
  <c r="BR130" i="34"/>
  <c r="BS84" i="34"/>
  <c r="BQ139" i="34" l="1"/>
  <c r="BQ140" i="34" s="1"/>
  <c r="BS106" i="34"/>
  <c r="BS107" i="34"/>
  <c r="BS102" i="34"/>
  <c r="BS103" i="34"/>
  <c r="BS122" i="34"/>
  <c r="BS100" i="34"/>
  <c r="BS105" i="34"/>
  <c r="BS101" i="34"/>
  <c r="BS99" i="34"/>
  <c r="BS104" i="34"/>
  <c r="CH79" i="34"/>
  <c r="BQ135" i="34"/>
  <c r="BQ136" i="34" s="1"/>
  <c r="BR132" i="34"/>
  <c r="BQ114" i="34"/>
  <c r="BQ150" i="34" s="1"/>
  <c r="BS123" i="34"/>
  <c r="BS124" i="34"/>
  <c r="BS151" i="34" s="1"/>
  <c r="BR110" i="34"/>
  <c r="BS130" i="34"/>
  <c r="BT84" i="34"/>
  <c r="BR139" i="34" l="1"/>
  <c r="BR140" i="34" s="1"/>
  <c r="BR149" i="34" s="1"/>
  <c r="BQ149" i="34"/>
  <c r="BT106" i="34"/>
  <c r="BT107" i="34"/>
  <c r="BT102" i="34"/>
  <c r="BT103" i="34"/>
  <c r="BT122" i="34"/>
  <c r="BT104" i="34"/>
  <c r="BT100" i="34"/>
  <c r="BT105" i="34"/>
  <c r="BT101" i="34"/>
  <c r="BT99" i="34"/>
  <c r="CI79" i="34"/>
  <c r="BR135" i="34"/>
  <c r="BR136" i="34" s="1"/>
  <c r="BS132" i="34"/>
  <c r="BR114" i="34"/>
  <c r="BR150" i="34" s="1"/>
  <c r="BT123" i="34"/>
  <c r="BT124" i="34"/>
  <c r="BT151" i="34" s="1"/>
  <c r="BT130" i="34"/>
  <c r="BU84" i="34"/>
  <c r="BS110" i="34"/>
  <c r="BU107" i="34" l="1"/>
  <c r="BU106" i="34"/>
  <c r="BU102" i="34"/>
  <c r="BU103" i="34"/>
  <c r="BU122" i="34"/>
  <c r="BU99" i="34"/>
  <c r="BU104" i="34"/>
  <c r="BU100" i="34"/>
  <c r="BU105" i="34"/>
  <c r="BU101" i="34"/>
  <c r="CJ79" i="34"/>
  <c r="BT132" i="34"/>
  <c r="BS135" i="34"/>
  <c r="BS136" i="34" s="1"/>
  <c r="BS139" i="34"/>
  <c r="BS140" i="34" s="1"/>
  <c r="BS114" i="34"/>
  <c r="BS150" i="34" s="1"/>
  <c r="BU123" i="34"/>
  <c r="BU124" i="34"/>
  <c r="BU151" i="34" s="1"/>
  <c r="BU130" i="34"/>
  <c r="BV84" i="34"/>
  <c r="BT110" i="34"/>
  <c r="BT139" i="34" l="1"/>
  <c r="BT140" i="34" s="1"/>
  <c r="BV107" i="34"/>
  <c r="BV106" i="34"/>
  <c r="BV102" i="34"/>
  <c r="BV103" i="34"/>
  <c r="BV122" i="34"/>
  <c r="BV99" i="34"/>
  <c r="BV104" i="34"/>
  <c r="BV100" i="34"/>
  <c r="BV105" i="34"/>
  <c r="BV101" i="34"/>
  <c r="CK79" i="34"/>
  <c r="BS149" i="34"/>
  <c r="BT135" i="34"/>
  <c r="BT136" i="34" s="1"/>
  <c r="BU132" i="34"/>
  <c r="BT114" i="34"/>
  <c r="BT150" i="34" s="1"/>
  <c r="BV123" i="34"/>
  <c r="BV124" i="34"/>
  <c r="BV151" i="34" s="1"/>
  <c r="BU110" i="34"/>
  <c r="BV130" i="34"/>
  <c r="BW84" i="34"/>
  <c r="BU135" i="34" l="1"/>
  <c r="BU136" i="34" s="1"/>
  <c r="BT149" i="34"/>
  <c r="BW107" i="34"/>
  <c r="BW106" i="34"/>
  <c r="BW103" i="34"/>
  <c r="BW102" i="34"/>
  <c r="BW122" i="34"/>
  <c r="BW101" i="34"/>
  <c r="BW99" i="34"/>
  <c r="BW104" i="34"/>
  <c r="BW100" i="34"/>
  <c r="BW105" i="34"/>
  <c r="CL79" i="34"/>
  <c r="BU139" i="34"/>
  <c r="BU140" i="34" s="1"/>
  <c r="BV132" i="34"/>
  <c r="BU114" i="34"/>
  <c r="BU150" i="34" s="1"/>
  <c r="BW123" i="34"/>
  <c r="BW124" i="34"/>
  <c r="BW151" i="34" s="1"/>
  <c r="BW130" i="34"/>
  <c r="BX84" i="34"/>
  <c r="BV110" i="34"/>
  <c r="BV135" i="34" l="1"/>
  <c r="BV136" i="34" s="1"/>
  <c r="BX106" i="34"/>
  <c r="BX107" i="34"/>
  <c r="BX103" i="34"/>
  <c r="BX102" i="34"/>
  <c r="BX122" i="34"/>
  <c r="BX101" i="34"/>
  <c r="BX99" i="34"/>
  <c r="BX104" i="34"/>
  <c r="BX100" i="34"/>
  <c r="BX105" i="34"/>
  <c r="CM79" i="34"/>
  <c r="BV139" i="34"/>
  <c r="BV140" i="34" s="1"/>
  <c r="BU149" i="34"/>
  <c r="BW132" i="34"/>
  <c r="BV114" i="34"/>
  <c r="BV150" i="34" s="1"/>
  <c r="BX123" i="34"/>
  <c r="BX124" i="34"/>
  <c r="BX151" i="34" s="1"/>
  <c r="BW110" i="34"/>
  <c r="BX130" i="34"/>
  <c r="BY84" i="34"/>
  <c r="BW135" i="34" l="1"/>
  <c r="BW136" i="34" s="1"/>
  <c r="BY107" i="34"/>
  <c r="BY106" i="34"/>
  <c r="BY103" i="34"/>
  <c r="BY102" i="34"/>
  <c r="BY122" i="34"/>
  <c r="BY105" i="34"/>
  <c r="BY101" i="34"/>
  <c r="BY99" i="34"/>
  <c r="BY104" i="34"/>
  <c r="BY100" i="34"/>
  <c r="CN79" i="34"/>
  <c r="BV149" i="34"/>
  <c r="BW139" i="34"/>
  <c r="BW140" i="34" s="1"/>
  <c r="BX132" i="34"/>
  <c r="BW114" i="34"/>
  <c r="BW150" i="34" s="1"/>
  <c r="BY123" i="34"/>
  <c r="BY124" i="34"/>
  <c r="BY151" i="34" s="1"/>
  <c r="BY130" i="34"/>
  <c r="BZ84" i="34"/>
  <c r="BX110" i="34"/>
  <c r="BX139" i="34" l="1"/>
  <c r="BX140" i="34" s="1"/>
  <c r="BX149" i="34" s="1"/>
  <c r="BZ106" i="34"/>
  <c r="BZ107" i="34"/>
  <c r="BZ103" i="34"/>
  <c r="BZ102" i="34"/>
  <c r="BZ122" i="34"/>
  <c r="BZ100" i="34"/>
  <c r="BZ105" i="34"/>
  <c r="BZ101" i="34"/>
  <c r="BZ99" i="34"/>
  <c r="BZ104" i="34"/>
  <c r="CO79" i="34"/>
  <c r="BW149" i="34"/>
  <c r="BX135" i="34"/>
  <c r="BX136" i="34" s="1"/>
  <c r="BY132" i="34"/>
  <c r="BX114" i="34"/>
  <c r="BX150" i="34" s="1"/>
  <c r="BZ123" i="34"/>
  <c r="BZ124" i="34"/>
  <c r="BZ151" i="34" s="1"/>
  <c r="BZ130" i="34"/>
  <c r="CA84" i="34"/>
  <c r="BY110" i="34"/>
  <c r="BY139" i="34" l="1"/>
  <c r="BY140" i="34" s="1"/>
  <c r="BY149" i="34" s="1"/>
  <c r="CA106" i="34"/>
  <c r="CA107" i="34"/>
  <c r="CA103" i="34"/>
  <c r="CA102" i="34"/>
  <c r="CA122" i="34"/>
  <c r="CA100" i="34"/>
  <c r="CA105" i="34"/>
  <c r="CA101" i="34"/>
  <c r="CA99" i="34"/>
  <c r="CA104" i="34"/>
  <c r="CP79" i="34"/>
  <c r="BY135" i="34"/>
  <c r="BY136" i="34" s="1"/>
  <c r="BZ132" i="34"/>
  <c r="BY114" i="34"/>
  <c r="BY150" i="34" s="1"/>
  <c r="CA123" i="34"/>
  <c r="CA124" i="34"/>
  <c r="CA151" i="34" s="1"/>
  <c r="BZ110" i="34"/>
  <c r="CA130" i="34"/>
  <c r="CB84" i="34"/>
  <c r="BZ135" i="34" l="1"/>
  <c r="BZ136" i="34" s="1"/>
  <c r="CB106" i="34"/>
  <c r="CB107" i="34"/>
  <c r="CB102" i="34"/>
  <c r="CB103" i="34"/>
  <c r="CB122" i="34"/>
  <c r="CB104" i="34"/>
  <c r="CB100" i="34"/>
  <c r="CB99" i="34"/>
  <c r="CB105" i="34"/>
  <c r="CB101" i="34"/>
  <c r="CQ79" i="34"/>
  <c r="BZ139" i="34"/>
  <c r="CA132" i="34"/>
  <c r="BZ114" i="34"/>
  <c r="BZ150" i="34" s="1"/>
  <c r="CB123" i="34"/>
  <c r="CB124" i="34"/>
  <c r="CB151" i="34" s="1"/>
  <c r="CB130" i="34"/>
  <c r="CC84" i="34"/>
  <c r="CA110" i="34"/>
  <c r="BZ140" i="34" l="1"/>
  <c r="BZ149" i="34" s="1"/>
  <c r="CA139" i="34"/>
  <c r="CA140" i="34" s="1"/>
  <c r="CA149" i="34" s="1"/>
  <c r="CC106" i="34"/>
  <c r="CC107" i="34"/>
  <c r="CC102" i="34"/>
  <c r="CC103" i="34"/>
  <c r="CC122" i="34"/>
  <c r="CC99" i="34"/>
  <c r="CC104" i="34"/>
  <c r="CC100" i="34"/>
  <c r="CC105" i="34"/>
  <c r="CC101" i="34"/>
  <c r="CR79" i="34"/>
  <c r="CB132" i="34"/>
  <c r="CA135" i="34"/>
  <c r="CA136" i="34" s="1"/>
  <c r="CA114" i="34"/>
  <c r="CA150" i="34" s="1"/>
  <c r="CC123" i="34"/>
  <c r="CC124" i="34"/>
  <c r="CC151" i="34" s="1"/>
  <c r="CB110" i="34"/>
  <c r="CC130" i="34"/>
  <c r="CD84" i="34"/>
  <c r="CB135" i="34" l="1"/>
  <c r="CB136" i="34" s="1"/>
  <c r="CD106" i="34"/>
  <c r="CD107" i="34"/>
  <c r="CD102" i="34"/>
  <c r="CD103" i="34"/>
  <c r="CD122" i="34"/>
  <c r="CD99" i="34"/>
  <c r="CD104" i="34"/>
  <c r="CD100" i="34"/>
  <c r="CD105" i="34"/>
  <c r="CD101" i="34"/>
  <c r="CS79" i="34"/>
  <c r="CB139" i="34"/>
  <c r="CB140" i="34" s="1"/>
  <c r="CC132" i="34"/>
  <c r="CB114" i="34"/>
  <c r="CB150" i="34" s="1"/>
  <c r="CD123" i="34"/>
  <c r="CD124" i="34"/>
  <c r="CD151" i="34" s="1"/>
  <c r="CD130" i="34"/>
  <c r="CE84" i="34"/>
  <c r="CC110" i="34"/>
  <c r="CC139" i="34" l="1"/>
  <c r="CC140" i="34" s="1"/>
  <c r="CC149" i="34" s="1"/>
  <c r="CE107" i="34"/>
  <c r="CE106" i="34"/>
  <c r="CE103" i="34"/>
  <c r="CE102" i="34"/>
  <c r="CE122" i="34"/>
  <c r="CE101" i="34"/>
  <c r="CE99" i="34"/>
  <c r="CE104" i="34"/>
  <c r="CE100" i="34"/>
  <c r="CE105" i="34"/>
  <c r="CT79" i="34"/>
  <c r="CC135" i="34"/>
  <c r="CC136" i="34" s="1"/>
  <c r="CB149" i="34"/>
  <c r="CD132" i="34"/>
  <c r="CC114" i="34"/>
  <c r="CC150" i="34" s="1"/>
  <c r="CE123" i="34"/>
  <c r="CE124" i="34"/>
  <c r="CE151" i="34" s="1"/>
  <c r="CE130" i="34"/>
  <c r="CF84" i="34"/>
  <c r="CD110" i="34"/>
  <c r="CD139" i="34" l="1"/>
  <c r="CD140" i="34" s="1"/>
  <c r="CD149" i="34" s="1"/>
  <c r="CF107" i="34"/>
  <c r="CF106" i="34"/>
  <c r="CF103" i="34"/>
  <c r="CF102" i="34"/>
  <c r="CF122" i="34"/>
  <c r="CF101" i="34"/>
  <c r="CF99" i="34"/>
  <c r="CF104" i="34"/>
  <c r="CF100" i="34"/>
  <c r="CF105" i="34"/>
  <c r="CU79" i="34"/>
  <c r="CD135" i="34"/>
  <c r="CD136" i="34" s="1"/>
  <c r="CE132" i="34"/>
  <c r="CD114" i="34"/>
  <c r="CD150" i="34" s="1"/>
  <c r="CF123" i="34"/>
  <c r="CF124" i="34"/>
  <c r="CF151" i="34" s="1"/>
  <c r="CF130" i="34"/>
  <c r="CG84" i="34"/>
  <c r="CE110" i="34"/>
  <c r="CE135" i="34" l="1"/>
  <c r="CE136" i="34" s="1"/>
  <c r="CG107" i="34"/>
  <c r="CG106" i="34"/>
  <c r="CG103" i="34"/>
  <c r="CG102" i="34"/>
  <c r="CG122" i="34"/>
  <c r="CG105" i="34"/>
  <c r="CG101" i="34"/>
  <c r="CG100" i="34"/>
  <c r="CG99" i="34"/>
  <c r="CG104" i="34"/>
  <c r="CV79" i="34"/>
  <c r="CE139" i="34"/>
  <c r="CE140" i="34" s="1"/>
  <c r="CF132" i="34"/>
  <c r="CE114" i="34"/>
  <c r="CE150" i="34" s="1"/>
  <c r="CG123" i="34"/>
  <c r="CG124" i="34"/>
  <c r="CG151" i="34" s="1"/>
  <c r="CG130" i="34"/>
  <c r="CH84" i="34"/>
  <c r="CF110" i="34"/>
  <c r="CF139" i="34" l="1"/>
  <c r="CF140" i="34" s="1"/>
  <c r="CF149" i="34" s="1"/>
  <c r="CH106" i="34"/>
  <c r="CH107" i="34"/>
  <c r="CH103" i="34"/>
  <c r="CH102" i="34"/>
  <c r="CH122" i="34"/>
  <c r="CH100" i="34"/>
  <c r="CH105" i="34"/>
  <c r="CH101" i="34"/>
  <c r="CH99" i="34"/>
  <c r="CH104" i="34"/>
  <c r="CW79" i="34"/>
  <c r="CE149" i="34"/>
  <c r="CF135" i="34"/>
  <c r="CF136" i="34" s="1"/>
  <c r="CG132" i="34"/>
  <c r="CF114" i="34"/>
  <c r="CF150" i="34" s="1"/>
  <c r="CH123" i="34"/>
  <c r="CH124" i="34"/>
  <c r="CH151" i="34" s="1"/>
  <c r="CH130" i="34"/>
  <c r="CI84" i="34"/>
  <c r="CG110" i="34"/>
  <c r="CG139" i="34" l="1"/>
  <c r="CG140" i="34" s="1"/>
  <c r="CG149" i="34" s="1"/>
  <c r="CI106" i="34"/>
  <c r="CI107" i="34"/>
  <c r="CI102" i="34"/>
  <c r="CI103" i="34"/>
  <c r="CI122" i="34"/>
  <c r="CI100" i="34"/>
  <c r="CI105" i="34"/>
  <c r="CI101" i="34"/>
  <c r="CI99" i="34"/>
  <c r="CI104" i="34"/>
  <c r="CX79" i="34"/>
  <c r="CG135" i="34"/>
  <c r="CG136" i="34" s="1"/>
  <c r="CH132" i="34"/>
  <c r="CG114" i="34"/>
  <c r="CG150" i="34" s="1"/>
  <c r="CI123" i="34"/>
  <c r="CI124" i="34"/>
  <c r="CI151" i="34" s="1"/>
  <c r="CH110" i="34"/>
  <c r="CI130" i="34"/>
  <c r="CJ84" i="34"/>
  <c r="CH139" i="34" l="1"/>
  <c r="CH140" i="34" s="1"/>
  <c r="CH149" i="34" s="1"/>
  <c r="CJ107" i="34"/>
  <c r="CJ106" i="34"/>
  <c r="CJ102" i="34"/>
  <c r="CJ103" i="34"/>
  <c r="CJ122" i="34"/>
  <c r="CJ104" i="34"/>
  <c r="CJ100" i="34"/>
  <c r="CJ105" i="34"/>
  <c r="CJ99" i="34"/>
  <c r="CJ101" i="34"/>
  <c r="CH135" i="34"/>
  <c r="CH136" i="34" s="1"/>
  <c r="CI132" i="34"/>
  <c r="CH114" i="34"/>
  <c r="CH150" i="34" s="1"/>
  <c r="CJ123" i="34"/>
  <c r="CJ124" i="34"/>
  <c r="CJ151" i="34" s="1"/>
  <c r="CI110" i="34"/>
  <c r="CJ130" i="34"/>
  <c r="CK84" i="34"/>
  <c r="CI135" i="34" l="1"/>
  <c r="CI136" i="34" s="1"/>
  <c r="CK107" i="34"/>
  <c r="CK106" i="34"/>
  <c r="CK102" i="34"/>
  <c r="CK103" i="34"/>
  <c r="CK122" i="34"/>
  <c r="CK99" i="34"/>
  <c r="CK104" i="34"/>
  <c r="CK100" i="34"/>
  <c r="CK105" i="34"/>
  <c r="CK101" i="34"/>
  <c r="CI139" i="34"/>
  <c r="CI140" i="34" s="1"/>
  <c r="CJ132" i="34"/>
  <c r="CI114" i="34"/>
  <c r="CI150" i="34" s="1"/>
  <c r="CK123" i="34"/>
  <c r="CK124" i="34"/>
  <c r="CK151" i="34" s="1"/>
  <c r="CK130" i="34"/>
  <c r="CL84" i="34"/>
  <c r="CJ110" i="34"/>
  <c r="CJ139" i="34" l="1"/>
  <c r="CJ140" i="34" s="1"/>
  <c r="CJ149" i="34" s="1"/>
  <c r="CL107" i="34"/>
  <c r="CL106" i="34"/>
  <c r="CL102" i="34"/>
  <c r="CL103" i="34"/>
  <c r="CL122" i="34"/>
  <c r="CL99" i="34"/>
  <c r="CL104" i="34"/>
  <c r="CL100" i="34"/>
  <c r="CL105" i="34"/>
  <c r="CL101" i="34"/>
  <c r="CI149" i="34"/>
  <c r="CJ135" i="34"/>
  <c r="CJ136" i="34" s="1"/>
  <c r="CK132" i="34"/>
  <c r="CJ114" i="34"/>
  <c r="CJ150" i="34" s="1"/>
  <c r="CL123" i="34"/>
  <c r="CL124" i="34"/>
  <c r="CL151" i="34" s="1"/>
  <c r="CK110" i="34"/>
  <c r="CL130" i="34"/>
  <c r="CM84" i="34"/>
  <c r="CK135" i="34" l="1"/>
  <c r="CK136" i="34" s="1"/>
  <c r="CM107" i="34"/>
  <c r="CM106" i="34"/>
  <c r="CM102" i="34"/>
  <c r="CM103" i="34"/>
  <c r="CM122" i="34"/>
  <c r="CM101" i="34"/>
  <c r="CM99" i="34"/>
  <c r="CM104" i="34"/>
  <c r="CM100" i="34"/>
  <c r="CM105" i="34"/>
  <c r="CK139" i="34"/>
  <c r="CK140" i="34" s="1"/>
  <c r="CL132" i="34"/>
  <c r="CK114" i="34"/>
  <c r="CK150" i="34" s="1"/>
  <c r="CM123" i="34"/>
  <c r="CM124" i="34"/>
  <c r="CM151" i="34" s="1"/>
  <c r="CM130" i="34"/>
  <c r="CN84" i="34"/>
  <c r="CL110" i="34"/>
  <c r="CL139" i="34" l="1"/>
  <c r="CL140" i="34" s="1"/>
  <c r="CL149" i="34" s="1"/>
  <c r="CN107" i="34"/>
  <c r="CN106" i="34"/>
  <c r="CN103" i="34"/>
  <c r="CN102" i="34"/>
  <c r="CN122" i="34"/>
  <c r="CN101" i="34"/>
  <c r="CN99" i="34"/>
  <c r="CN104" i="34"/>
  <c r="CN100" i="34"/>
  <c r="CN105" i="34"/>
  <c r="CL135" i="34"/>
  <c r="CL136" i="34" s="1"/>
  <c r="CK149" i="34"/>
  <c r="CM132" i="34"/>
  <c r="CL114" i="34"/>
  <c r="CL150" i="34" s="1"/>
  <c r="CN123" i="34"/>
  <c r="CN124" i="34"/>
  <c r="CN151" i="34" s="1"/>
  <c r="CM110" i="34"/>
  <c r="CN130" i="34"/>
  <c r="CO84" i="34"/>
  <c r="CM135" i="34" l="1"/>
  <c r="CM136" i="34" s="1"/>
  <c r="CO106" i="34"/>
  <c r="CO107" i="34"/>
  <c r="CO103" i="34"/>
  <c r="CO102" i="34"/>
  <c r="CO122" i="34"/>
  <c r="CO105" i="34"/>
  <c r="CO101" i="34"/>
  <c r="CO99" i="34"/>
  <c r="CO104" i="34"/>
  <c r="CO100" i="34"/>
  <c r="CM139" i="34"/>
  <c r="CM140" i="34" s="1"/>
  <c r="CN132" i="34"/>
  <c r="CM114" i="34"/>
  <c r="CM150" i="34" s="1"/>
  <c r="CO123" i="34"/>
  <c r="CO124" i="34"/>
  <c r="CO151" i="34" s="1"/>
  <c r="CN110" i="34"/>
  <c r="CO130" i="34"/>
  <c r="CP84" i="34"/>
  <c r="CN139" i="34" l="1"/>
  <c r="CN140" i="34" s="1"/>
  <c r="CN149" i="34" s="1"/>
  <c r="CP106" i="34"/>
  <c r="CP107" i="34"/>
  <c r="CP103" i="34"/>
  <c r="CP102" i="34"/>
  <c r="CP122" i="34"/>
  <c r="CP100" i="34"/>
  <c r="CP105" i="34"/>
  <c r="CP101" i="34"/>
  <c r="CP99" i="34"/>
  <c r="CP104" i="34"/>
  <c r="CM149" i="34"/>
  <c r="CN135" i="34"/>
  <c r="CN136" i="34" s="1"/>
  <c r="CO132" i="34"/>
  <c r="CN114" i="34"/>
  <c r="CN150" i="34" s="1"/>
  <c r="CP123" i="34"/>
  <c r="CP124" i="34"/>
  <c r="CP151" i="34" s="1"/>
  <c r="CP130" i="34"/>
  <c r="CQ84" i="34"/>
  <c r="CO110" i="34"/>
  <c r="CO139" i="34" l="1"/>
  <c r="CO140" i="34" s="1"/>
  <c r="CO149" i="34" s="1"/>
  <c r="CQ106" i="34"/>
  <c r="CQ107" i="34"/>
  <c r="CQ103" i="34"/>
  <c r="CQ102" i="34"/>
  <c r="CQ122" i="34"/>
  <c r="CQ100" i="34"/>
  <c r="CQ105" i="34"/>
  <c r="CQ101" i="34"/>
  <c r="CQ99" i="34"/>
  <c r="CQ104" i="34"/>
  <c r="CO135" i="34"/>
  <c r="CO136" i="34" s="1"/>
  <c r="CP132" i="34"/>
  <c r="CO114" i="34"/>
  <c r="CO150" i="34" s="1"/>
  <c r="CQ123" i="34"/>
  <c r="CQ124" i="34"/>
  <c r="CQ151" i="34" s="1"/>
  <c r="CQ130" i="34"/>
  <c r="CR84" i="34"/>
  <c r="CP110" i="34"/>
  <c r="CP139" i="34" l="1"/>
  <c r="CP140" i="34" s="1"/>
  <c r="CP149" i="34" s="1"/>
  <c r="CR106" i="34"/>
  <c r="CR107" i="34"/>
  <c r="CR103" i="34"/>
  <c r="CR102" i="34"/>
  <c r="CR122" i="34"/>
  <c r="CR104" i="34"/>
  <c r="CR100" i="34"/>
  <c r="CR105" i="34"/>
  <c r="CR101" i="34"/>
  <c r="CR99" i="34"/>
  <c r="CP135" i="34"/>
  <c r="CP136" i="34" s="1"/>
  <c r="CQ132" i="34"/>
  <c r="CP114" i="34"/>
  <c r="CP150" i="34" s="1"/>
  <c r="CR123" i="34"/>
  <c r="CR124" i="34"/>
  <c r="CR151" i="34" s="1"/>
  <c r="CQ110" i="34"/>
  <c r="CR130" i="34"/>
  <c r="CS84" i="34"/>
  <c r="CQ135" i="34" l="1"/>
  <c r="CQ136" i="34" s="1"/>
  <c r="CS107" i="34"/>
  <c r="CS106" i="34"/>
  <c r="CS102" i="34"/>
  <c r="CS103" i="34"/>
  <c r="CS122" i="34"/>
  <c r="CS99" i="34"/>
  <c r="CS104" i="34"/>
  <c r="CS100" i="34"/>
  <c r="CS105" i="34"/>
  <c r="CS101" i="34"/>
  <c r="CQ139" i="34"/>
  <c r="CQ140" i="34" s="1"/>
  <c r="CR132" i="34"/>
  <c r="CQ114" i="34"/>
  <c r="CQ150" i="34" s="1"/>
  <c r="CS123" i="34"/>
  <c r="CS124" i="34"/>
  <c r="CS151" i="34" s="1"/>
  <c r="CR110" i="34"/>
  <c r="CS130" i="34"/>
  <c r="CT84" i="34"/>
  <c r="CR139" i="34" l="1"/>
  <c r="CR140" i="34" s="1"/>
  <c r="CR149" i="34" s="1"/>
  <c r="CT107" i="34"/>
  <c r="CT106" i="34"/>
  <c r="CT103" i="34"/>
  <c r="CT102" i="34"/>
  <c r="CT122" i="34"/>
  <c r="CT99" i="34"/>
  <c r="CT104" i="34"/>
  <c r="CT100" i="34"/>
  <c r="CT105" i="34"/>
  <c r="CT101" i="34"/>
  <c r="CQ149" i="34"/>
  <c r="CR135" i="34"/>
  <c r="CR136" i="34" s="1"/>
  <c r="CS132" i="34"/>
  <c r="CR114" i="34"/>
  <c r="CR150" i="34" s="1"/>
  <c r="CT123" i="34"/>
  <c r="CT124" i="34"/>
  <c r="CT151" i="34" s="1"/>
  <c r="CS110" i="34"/>
  <c r="CT130" i="34"/>
  <c r="CU84" i="34"/>
  <c r="CS139" i="34" l="1"/>
  <c r="CS140" i="34" s="1"/>
  <c r="CS149" i="34" s="1"/>
  <c r="CU107" i="34"/>
  <c r="CU106" i="34"/>
  <c r="CU102" i="34"/>
  <c r="CU103" i="34"/>
  <c r="CU122" i="34"/>
  <c r="CU101" i="34"/>
  <c r="CU99" i="34"/>
  <c r="CU104" i="34"/>
  <c r="CU100" i="34"/>
  <c r="CU105" i="34"/>
  <c r="CS135" i="34"/>
  <c r="CS136" i="34" s="1"/>
  <c r="CT132" i="34"/>
  <c r="CS114" i="34"/>
  <c r="CS150" i="34" s="1"/>
  <c r="CU123" i="34"/>
  <c r="CU124" i="34"/>
  <c r="CU151" i="34" s="1"/>
  <c r="CT110" i="34"/>
  <c r="CU130" i="34"/>
  <c r="CV84" i="34"/>
  <c r="CT135" i="34" l="1"/>
  <c r="CT136" i="34" s="1"/>
  <c r="CV106" i="34"/>
  <c r="CV107" i="34"/>
  <c r="CV102" i="34"/>
  <c r="CV103" i="34"/>
  <c r="CV122" i="34"/>
  <c r="CV101" i="34"/>
  <c r="CV99" i="34"/>
  <c r="CV104" i="34"/>
  <c r="CV100" i="34"/>
  <c r="CV105" i="34"/>
  <c r="CT139" i="34"/>
  <c r="CU132" i="34"/>
  <c r="CT114" i="34"/>
  <c r="CT150" i="34" s="1"/>
  <c r="CV123" i="34"/>
  <c r="CV124" i="34"/>
  <c r="CV151" i="34" s="1"/>
  <c r="CU110" i="34"/>
  <c r="CV130" i="34"/>
  <c r="CW84" i="34"/>
  <c r="CT140" i="34" l="1"/>
  <c r="CT149" i="34" s="1"/>
  <c r="CU135" i="34"/>
  <c r="CU136" i="34" s="1"/>
  <c r="CW106" i="34"/>
  <c r="CW107" i="34"/>
  <c r="CW103" i="34"/>
  <c r="CW102" i="34"/>
  <c r="CW122" i="34"/>
  <c r="CW105" i="34"/>
  <c r="CW101" i="34"/>
  <c r="CW100" i="34"/>
  <c r="CW99" i="34"/>
  <c r="CW104" i="34"/>
  <c r="CU139" i="34"/>
  <c r="CU140" i="34" s="1"/>
  <c r="CV132" i="34"/>
  <c r="CU114" i="34"/>
  <c r="CU150" i="34" s="1"/>
  <c r="CW123" i="34"/>
  <c r="CW124" i="34"/>
  <c r="CW151" i="34" s="1"/>
  <c r="CW130" i="34"/>
  <c r="CX84" i="34"/>
  <c r="CV110" i="34"/>
  <c r="CV139" i="34" l="1"/>
  <c r="CV140" i="34" s="1"/>
  <c r="CX106" i="34"/>
  <c r="CX107" i="34"/>
  <c r="CX103" i="34"/>
  <c r="A103" i="34" s="1"/>
  <c r="CX102" i="34"/>
  <c r="A102" i="34" s="1"/>
  <c r="CX122" i="34"/>
  <c r="CX100" i="34"/>
  <c r="CX105" i="34"/>
  <c r="CX101" i="34"/>
  <c r="A101" i="34" s="1"/>
  <c r="CX99" i="34"/>
  <c r="CX104" i="34"/>
  <c r="CU149" i="34"/>
  <c r="CV135" i="34"/>
  <c r="CV136" i="34" s="1"/>
  <c r="CW132" i="34"/>
  <c r="CV114" i="34"/>
  <c r="CV150" i="34" s="1"/>
  <c r="CX123" i="34"/>
  <c r="A123" i="34" s="1"/>
  <c r="CX124" i="34"/>
  <c r="CX151" i="34" s="1"/>
  <c r="CX130" i="34"/>
  <c r="CW110" i="34"/>
  <c r="CW139" i="34" l="1"/>
  <c r="CW140" i="34" s="1"/>
  <c r="CW149" i="34" s="1"/>
  <c r="CV149" i="34"/>
  <c r="CW135" i="34"/>
  <c r="CW136" i="34" s="1"/>
  <c r="CX132" i="34"/>
  <c r="CW114" i="34"/>
  <c r="CW150" i="34" s="1"/>
  <c r="CX110" i="34"/>
  <c r="CX135" i="34" l="1"/>
  <c r="CX136" i="34" s="1"/>
  <c r="CX139" i="34"/>
  <c r="CX114" i="34"/>
  <c r="CX150" i="34" s="1"/>
  <c r="CX140" i="34" l="1"/>
  <c r="CX149" i="34" s="1"/>
  <c r="B10" i="5"/>
  <c r="F12" i="86" l="1"/>
  <c r="A58" i="5" l="1"/>
  <c r="A60" i="5" l="1"/>
  <c r="B774" i="5" l="1"/>
  <c r="B777" i="5" s="1"/>
  <c r="A99" i="34" l="1"/>
  <c r="B260" i="5" l="1"/>
  <c r="B267" i="5" s="1"/>
  <c r="B268" i="5" s="1"/>
  <c r="B271" i="5" s="1"/>
  <c r="D920" i="5" l="1"/>
  <c r="D930" i="5" s="1"/>
  <c r="B1013" i="5"/>
  <c r="B1016" i="5" s="1"/>
  <c r="B1039" i="5" s="1"/>
  <c r="B1052" i="5" s="1"/>
  <c r="C920" i="5"/>
  <c r="C930" i="5" s="1"/>
  <c r="C1013" i="5"/>
  <c r="C1016" i="5" s="1"/>
  <c r="C1039" i="5" s="1"/>
  <c r="C1052" i="5" s="1"/>
  <c r="B7" i="5"/>
  <c r="B920" i="5"/>
  <c r="D932" i="5" l="1"/>
  <c r="C932" i="5"/>
  <c r="C940" i="5" s="1"/>
  <c r="C996" i="5" s="1"/>
  <c r="B634" i="5"/>
  <c r="B638" i="5" s="1"/>
  <c r="B640" i="5"/>
  <c r="B642" i="5" s="1"/>
  <c r="B653" i="5" s="1"/>
  <c r="B298" i="5"/>
  <c r="B299" i="5" l="1"/>
  <c r="B339" i="5"/>
  <c r="B340" i="5" s="1"/>
  <c r="G339" i="5"/>
  <c r="G340" i="5" s="1"/>
  <c r="B351" i="5"/>
  <c r="C351" i="5" s="1"/>
  <c r="D351" i="5" s="1"/>
  <c r="C339" i="5"/>
  <c r="C340" i="5" s="1"/>
  <c r="C341" i="5" s="1"/>
  <c r="B352" i="5"/>
  <c r="C352" i="5" s="1"/>
  <c r="D352" i="5" s="1"/>
  <c r="D940" i="5"/>
  <c r="C1104" i="5"/>
  <c r="C1105" i="5" s="1"/>
  <c r="B1128" i="5" s="1"/>
  <c r="B1129" i="5" s="1"/>
  <c r="C1102" i="5"/>
  <c r="E1103" i="5"/>
  <c r="C998" i="5"/>
  <c r="C997" i="5"/>
  <c r="C999" i="5" s="1"/>
  <c r="B341" i="5"/>
  <c r="F339" i="5"/>
  <c r="F340" i="5" s="1"/>
  <c r="F341" i="5" s="1"/>
  <c r="E339" i="5"/>
  <c r="E340" i="5" s="1"/>
  <c r="E341" i="5" s="1"/>
  <c r="E321" i="5"/>
  <c r="D339" i="5"/>
  <c r="D340" i="5" s="1"/>
  <c r="D341" i="5" s="1"/>
  <c r="G341" i="5"/>
  <c r="E324" i="5"/>
  <c r="E325" i="5"/>
  <c r="E327" i="5"/>
  <c r="E328" i="5"/>
  <c r="E322" i="5"/>
  <c r="H302" i="5" l="1"/>
  <c r="H311" i="5" s="1"/>
  <c r="B302" i="5"/>
  <c r="F302" i="5"/>
  <c r="D996" i="5"/>
  <c r="D998" i="5" s="1"/>
  <c r="D997" i="5"/>
  <c r="D999" i="5" s="1"/>
  <c r="B930" i="5"/>
  <c r="D353" i="5"/>
  <c r="B342" i="5"/>
  <c r="F326" i="5"/>
  <c r="G326" i="5" s="1"/>
  <c r="F323" i="5"/>
  <c r="G323" i="5" s="1"/>
  <c r="F320" i="5"/>
  <c r="G320" i="5" s="1"/>
  <c r="H312" i="5"/>
  <c r="F311" i="5" l="1"/>
  <c r="G302" i="5"/>
  <c r="G311" i="5" s="1"/>
  <c r="G312" i="5" s="1"/>
  <c r="C302" i="5"/>
  <c r="B311" i="5"/>
  <c r="B932" i="5"/>
  <c r="B1002" i="5" s="1"/>
  <c r="B1015" i="5" s="1"/>
  <c r="B1020" i="5" s="1"/>
  <c r="B1022" i="5" s="1"/>
  <c r="B1024" i="5" s="1"/>
  <c r="B1001" i="5"/>
  <c r="C1103" i="5"/>
  <c r="B1126" i="5" s="1"/>
  <c r="B1127" i="5" s="1"/>
  <c r="B312" i="5"/>
  <c r="F312" i="5"/>
  <c r="D302" i="5" l="1"/>
  <c r="C311" i="5"/>
  <c r="B940" i="5"/>
  <c r="B996" i="5" s="1"/>
  <c r="E996" i="5" s="1"/>
  <c r="E998" i="5" s="1"/>
  <c r="B1006" i="5"/>
  <c r="B1008" i="5" s="1"/>
  <c r="B1005" i="5"/>
  <c r="B1007" i="5" s="1"/>
  <c r="B1143" i="5" s="1"/>
  <c r="C1015" i="5"/>
  <c r="C1020" i="5" s="1"/>
  <c r="C1022" i="5" s="1"/>
  <c r="C1024" i="5" s="1"/>
  <c r="C1038" i="5" s="1"/>
  <c r="C1051" i="5" s="1"/>
  <c r="B1026" i="5"/>
  <c r="B1030" i="5" s="1"/>
  <c r="B1046" i="5" s="1"/>
  <c r="C312" i="5"/>
  <c r="B1038" i="5"/>
  <c r="B1051" i="5" s="1"/>
  <c r="B1036" i="5"/>
  <c r="B1050" i="5" s="1"/>
  <c r="B1034" i="5"/>
  <c r="B1061" i="5" s="1"/>
  <c r="B1068" i="5" s="1"/>
  <c r="N95" i="34"/>
  <c r="D311" i="5" l="1"/>
  <c r="E302" i="5"/>
  <c r="E311" i="5" s="1"/>
  <c r="B997" i="5"/>
  <c r="E997" i="5" s="1"/>
  <c r="E999" i="5" s="1"/>
  <c r="C1026" i="5"/>
  <c r="C1033" i="5" s="1"/>
  <c r="C1048" i="5" s="1"/>
  <c r="C1036" i="5"/>
  <c r="C1050" i="5" s="1"/>
  <c r="C1034" i="5"/>
  <c r="C1049" i="5" s="1"/>
  <c r="B1027" i="5"/>
  <c r="B1031" i="5"/>
  <c r="B1047" i="5" s="1"/>
  <c r="B1033" i="5"/>
  <c r="B1048" i="5" s="1"/>
  <c r="B1090" i="5"/>
  <c r="B1091" i="5" s="1"/>
  <c r="E312" i="5"/>
  <c r="D312" i="5"/>
  <c r="B1040" i="5"/>
  <c r="B1053" i="5" s="1"/>
  <c r="B1062" i="5"/>
  <c r="B1063" i="5" s="1"/>
  <c r="B1066" i="5" s="1"/>
  <c r="B1069" i="5" s="1"/>
  <c r="B1073" i="5" s="1"/>
  <c r="B1049" i="5"/>
  <c r="B1076" i="5"/>
  <c r="B1077" i="5" s="1"/>
  <c r="AK95" i="34"/>
  <c r="AJ95" i="34"/>
  <c r="AW95" i="34"/>
  <c r="BU95" i="34"/>
  <c r="BZ95" i="34"/>
  <c r="BM95" i="34"/>
  <c r="CF95" i="34"/>
  <c r="L95" i="34"/>
  <c r="CP95" i="34"/>
  <c r="AD95" i="34"/>
  <c r="E95" i="34"/>
  <c r="CD95" i="34"/>
  <c r="CS95" i="34"/>
  <c r="S95" i="34"/>
  <c r="CU95" i="34"/>
  <c r="U95" i="34"/>
  <c r="BX95" i="34"/>
  <c r="CE95" i="34"/>
  <c r="CN95" i="34"/>
  <c r="AY95" i="34"/>
  <c r="I95" i="34"/>
  <c r="CK95" i="34"/>
  <c r="CT95" i="34"/>
  <c r="AO95" i="34"/>
  <c r="CL95" i="34"/>
  <c r="AN95" i="34"/>
  <c r="CQ95" i="34"/>
  <c r="BA95" i="34"/>
  <c r="R95" i="34"/>
  <c r="Q95" i="34"/>
  <c r="CI95" i="34"/>
  <c r="BB95" i="34"/>
  <c r="BN95" i="34"/>
  <c r="CH95" i="34"/>
  <c r="CJ95" i="34"/>
  <c r="AG95" i="34"/>
  <c r="CB95" i="34"/>
  <c r="BW95" i="34"/>
  <c r="Y95" i="34"/>
  <c r="V95" i="34"/>
  <c r="BE95" i="34"/>
  <c r="BO95" i="34"/>
  <c r="AH95" i="34"/>
  <c r="AL95" i="34"/>
  <c r="Z95" i="34"/>
  <c r="AE95" i="34"/>
  <c r="AZ95" i="34"/>
  <c r="CO95" i="34"/>
  <c r="AR95" i="34"/>
  <c r="BP95" i="34"/>
  <c r="BI95" i="34"/>
  <c r="BS95" i="34"/>
  <c r="AU95" i="34"/>
  <c r="X95" i="34"/>
  <c r="K95" i="34"/>
  <c r="CA95" i="34"/>
  <c r="AP95" i="34"/>
  <c r="BR95" i="34"/>
  <c r="BD95" i="34"/>
  <c r="AV95" i="34"/>
  <c r="BV95" i="34"/>
  <c r="AC95" i="34"/>
  <c r="BK95" i="34"/>
  <c r="AM95" i="34"/>
  <c r="AA95" i="34"/>
  <c r="T95" i="34"/>
  <c r="BG95" i="34"/>
  <c r="P95" i="34"/>
  <c r="BY95" i="34"/>
  <c r="BF95" i="34"/>
  <c r="J95" i="34"/>
  <c r="CX95" i="34"/>
  <c r="AX95" i="34"/>
  <c r="BL95" i="34"/>
  <c r="CC95" i="34"/>
  <c r="D95" i="34"/>
  <c r="CG95" i="34"/>
  <c r="CW95" i="34"/>
  <c r="BH95" i="34"/>
  <c r="H95" i="34"/>
  <c r="AQ95" i="34"/>
  <c r="CM95" i="34"/>
  <c r="W95" i="34"/>
  <c r="G95" i="34"/>
  <c r="BJ95" i="34"/>
  <c r="AF95" i="34"/>
  <c r="AT95" i="34"/>
  <c r="CR95" i="34"/>
  <c r="M95" i="34"/>
  <c r="CV95" i="34"/>
  <c r="C95" i="34"/>
  <c r="BT95" i="34"/>
  <c r="BQ95" i="34"/>
  <c r="BC95" i="34"/>
  <c r="AB95" i="34"/>
  <c r="O95" i="34"/>
  <c r="F95" i="34"/>
  <c r="AI95" i="34"/>
  <c r="AS95" i="34"/>
  <c r="B1057" i="5" l="1"/>
  <c r="B1059" i="5" s="1"/>
  <c r="C1031" i="5"/>
  <c r="C1047" i="5" s="1"/>
  <c r="C1027" i="5"/>
  <c r="C1030" i="5"/>
  <c r="C1046" i="5" s="1"/>
  <c r="C1061" i="5"/>
  <c r="C1076" i="5" s="1"/>
  <c r="C1077" i="5" s="1"/>
  <c r="C1040" i="5"/>
  <c r="C1053" i="5" s="1"/>
  <c r="B1070" i="5"/>
  <c r="B1071" i="5" s="1"/>
  <c r="B313" i="5"/>
  <c r="B1080" i="5"/>
  <c r="B1082" i="5" s="1"/>
  <c r="B1084" i="5" s="1"/>
  <c r="A95" i="34"/>
  <c r="B363" i="5" l="1"/>
  <c r="B1157" i="5" s="1"/>
  <c r="C1057" i="5"/>
  <c r="C1059" i="5" s="1"/>
  <c r="B1094" i="5" s="1"/>
  <c r="B1096" i="5" s="1"/>
  <c r="C1090" i="5"/>
  <c r="C1091" i="5" s="1"/>
  <c r="B1098" i="5" s="1"/>
  <c r="B1172" i="5" s="1"/>
  <c r="C1062" i="5"/>
  <c r="C1080" i="5" s="1"/>
  <c r="C1082" i="5" s="1"/>
  <c r="C1084" i="5" s="1"/>
  <c r="C1068" i="5"/>
  <c r="B1074" i="5"/>
  <c r="B1085" i="5" s="1"/>
  <c r="B1086" i="5" s="1"/>
  <c r="B1087" i="5" s="1"/>
  <c r="C1063" i="5" l="1"/>
  <c r="C1066" i="5" s="1"/>
  <c r="C1069" i="5" s="1"/>
  <c r="C1070" i="5" s="1"/>
  <c r="C1071" i="5" s="1"/>
  <c r="B1162" i="5"/>
  <c r="B1116" i="5"/>
  <c r="C1073" i="5" l="1"/>
  <c r="C1074" i="5" s="1"/>
  <c r="C1085" i="5" s="1"/>
  <c r="C1086" i="5" s="1"/>
  <c r="C1087" i="5" s="1"/>
  <c r="B1097" i="5" s="1"/>
  <c r="B1148" i="5" s="1"/>
  <c r="B170" i="5"/>
  <c r="C57" i="34"/>
  <c r="BH93" i="34" s="1"/>
  <c r="C52" i="34"/>
  <c r="C88" i="34" s="1"/>
  <c r="BN93" i="34" l="1"/>
  <c r="AM93" i="34"/>
  <c r="U93" i="34"/>
  <c r="AZ93" i="34"/>
  <c r="CL93" i="34"/>
  <c r="P93" i="34"/>
  <c r="D93" i="34"/>
  <c r="BV93" i="34"/>
  <c r="BU93" i="34"/>
  <c r="I93" i="34"/>
  <c r="AT93" i="34"/>
  <c r="BM93" i="34"/>
  <c r="CG93" i="34"/>
  <c r="BY93" i="34"/>
  <c r="CE93" i="34"/>
  <c r="CR93" i="34"/>
  <c r="S93" i="34"/>
  <c r="CD93" i="34"/>
  <c r="AL93" i="34"/>
  <c r="M93" i="34"/>
  <c r="K93" i="34"/>
  <c r="CX93" i="34"/>
  <c r="AV93" i="34"/>
  <c r="BK93" i="34"/>
  <c r="CP93" i="34"/>
  <c r="AD93" i="34"/>
  <c r="AR93" i="34"/>
  <c r="BW93" i="34"/>
  <c r="X93" i="34"/>
  <c r="BQ93" i="34"/>
  <c r="BR93" i="34"/>
  <c r="BL93" i="34"/>
  <c r="BC93" i="34"/>
  <c r="BE93" i="34"/>
  <c r="W93" i="34"/>
  <c r="BP93" i="34"/>
  <c r="CC93" i="34"/>
  <c r="BS93" i="34"/>
  <c r="V93" i="34"/>
  <c r="CA93" i="34"/>
  <c r="AY93" i="34"/>
  <c r="Z93" i="34"/>
  <c r="CN93" i="34"/>
  <c r="AO93" i="34"/>
  <c r="AX93" i="34"/>
  <c r="AS93" i="34"/>
  <c r="AH93" i="34"/>
  <c r="AI93" i="34"/>
  <c r="BB93" i="34"/>
  <c r="AN93" i="34"/>
  <c r="AB93" i="34"/>
  <c r="BZ93" i="34"/>
  <c r="CI93" i="34"/>
  <c r="BX93" i="34"/>
  <c r="CK93" i="34"/>
  <c r="CJ93" i="34"/>
  <c r="CO93" i="34"/>
  <c r="CT93" i="34"/>
  <c r="BG93" i="34"/>
  <c r="N93" i="34"/>
  <c r="AP93" i="34"/>
  <c r="L93" i="34"/>
  <c r="Y93" i="34"/>
  <c r="H93" i="34"/>
  <c r="CM93" i="34"/>
  <c r="CV93" i="34"/>
  <c r="AF93" i="34"/>
  <c r="BT93" i="34"/>
  <c r="BA93" i="34"/>
  <c r="BD93" i="34"/>
  <c r="AQ93" i="34"/>
  <c r="BJ93" i="34"/>
  <c r="C93" i="34"/>
  <c r="AA93" i="34"/>
  <c r="AJ93" i="34"/>
  <c r="AW93" i="34"/>
  <c r="G93" i="34"/>
  <c r="CF93" i="34"/>
  <c r="CS93" i="34"/>
  <c r="E93" i="34"/>
  <c r="CW93" i="34"/>
  <c r="BF93" i="34"/>
  <c r="BO93" i="34"/>
  <c r="CH93" i="34"/>
  <c r="R93" i="34"/>
  <c r="T93" i="34"/>
  <c r="AG93" i="34"/>
  <c r="AE93" i="34"/>
  <c r="AK93" i="34"/>
  <c r="O93" i="34"/>
  <c r="CQ93" i="34"/>
  <c r="BI93" i="34"/>
  <c r="J93" i="34"/>
  <c r="AU93" i="34"/>
  <c r="F93" i="34"/>
  <c r="CB93" i="34"/>
  <c r="CU93" i="34"/>
  <c r="Q93" i="34"/>
  <c r="AC93" i="34"/>
  <c r="A93" i="34" l="1"/>
  <c r="BH80" i="34" l="1"/>
  <c r="S80" i="34"/>
  <c r="I80" i="34"/>
  <c r="W80" i="34"/>
  <c r="BK80" i="34"/>
  <c r="BZ80" i="34"/>
  <c r="N80" i="34"/>
  <c r="AZ80" i="34"/>
  <c r="CL80" i="34"/>
  <c r="Z80" i="34"/>
  <c r="O80" i="34"/>
  <c r="AC80" i="34"/>
  <c r="AE80" i="34"/>
  <c r="AF80" i="34"/>
  <c r="AG80" i="34"/>
  <c r="BL80" i="34"/>
  <c r="AV80" i="34"/>
  <c r="BW80" i="34"/>
  <c r="BR80" i="34"/>
  <c r="F80" i="34"/>
  <c r="AR80" i="34"/>
  <c r="R80" i="34"/>
  <c r="AA80" i="34"/>
  <c r="BO80" i="34"/>
  <c r="AQ80" i="34"/>
  <c r="AS80" i="34"/>
  <c r="AU80" i="34"/>
  <c r="BJ80" i="34"/>
  <c r="AJ80" i="34"/>
  <c r="J80" i="34"/>
  <c r="BD80" i="34"/>
  <c r="M80" i="34"/>
  <c r="BT80" i="34"/>
  <c r="AP80" i="34"/>
  <c r="H80" i="34"/>
  <c r="CH80" i="34"/>
  <c r="CK80" i="34"/>
  <c r="U80" i="34"/>
  <c r="CD80" i="34"/>
  <c r="AN80" i="34"/>
  <c r="BG80" i="34"/>
  <c r="CW80" i="34"/>
  <c r="BB80" i="34"/>
  <c r="CN80" i="34"/>
  <c r="BN80" i="34"/>
  <c r="P80" i="34"/>
  <c r="BQ80" i="34"/>
  <c r="AD80" i="34"/>
  <c r="G80" i="34"/>
  <c r="BU80" i="34"/>
  <c r="CJ80" i="34"/>
  <c r="CV80" i="34"/>
  <c r="BV80" i="34"/>
  <c r="CO80" i="34"/>
  <c r="BE80" i="34"/>
  <c r="CU80" i="34"/>
  <c r="AB80" i="34"/>
  <c r="BA80" i="34"/>
  <c r="BS80" i="34"/>
  <c r="V80" i="34"/>
  <c r="AH80" i="34"/>
  <c r="Q80" i="34"/>
  <c r="AW80" i="34"/>
  <c r="AI80" i="34"/>
  <c r="K80" i="34"/>
  <c r="Y80" i="34"/>
  <c r="AT80" i="34"/>
  <c r="CF80" i="34"/>
  <c r="T80" i="34"/>
  <c r="BF80" i="34"/>
  <c r="AM80" i="34"/>
  <c r="BM80" i="34"/>
  <c r="AO80" i="34"/>
  <c r="CC80" i="34"/>
  <c r="CE80" i="34"/>
  <c r="CG80" i="34"/>
  <c r="L80" i="34"/>
  <c r="CA80" i="34"/>
  <c r="CQ80" i="34"/>
  <c r="CS80" i="34"/>
  <c r="CI80" i="34"/>
  <c r="AK80" i="34"/>
  <c r="BP80" i="34"/>
  <c r="CM80" i="34"/>
  <c r="BI80" i="34"/>
  <c r="X80" i="34"/>
  <c r="CX80" i="34"/>
  <c r="AL80" i="34"/>
  <c r="BX80" i="34"/>
  <c r="AX80" i="34"/>
  <c r="AY80" i="34"/>
  <c r="BC80" i="34"/>
  <c r="CR80" i="34"/>
  <c r="CP80" i="34"/>
  <c r="BY80" i="34"/>
  <c r="CB80" i="34"/>
  <c r="CT80" i="34"/>
  <c r="C80" i="34"/>
  <c r="C118" i="34" s="1"/>
  <c r="BQ118" i="34" l="1"/>
  <c r="BQ143" i="34"/>
  <c r="CP118" i="34"/>
  <c r="CP143" i="34"/>
  <c r="CA118" i="34"/>
  <c r="CA143" i="34"/>
  <c r="BF143" i="34"/>
  <c r="CO118" i="34"/>
  <c r="CO143" i="34"/>
  <c r="BZ118" i="34"/>
  <c r="BZ143" i="34"/>
  <c r="CX118" i="34"/>
  <c r="CX143" i="34"/>
  <c r="CD118" i="34"/>
  <c r="CD143" i="34"/>
  <c r="CR118" i="34"/>
  <c r="CR143" i="34"/>
  <c r="BV118" i="34"/>
  <c r="BV143" i="34"/>
  <c r="BK118" i="34"/>
  <c r="BK143" i="34"/>
  <c r="CM118" i="34"/>
  <c r="CM143" i="34"/>
  <c r="CG118" i="34"/>
  <c r="CG143" i="34"/>
  <c r="CF118" i="34"/>
  <c r="CF143" i="34"/>
  <c r="CV118" i="34"/>
  <c r="CV143" i="34"/>
  <c r="CN118" i="34"/>
  <c r="CN143" i="34"/>
  <c r="CH118" i="34"/>
  <c r="CH143" i="34"/>
  <c r="BJ143" i="34"/>
  <c r="BP118" i="34"/>
  <c r="BP143" i="34"/>
  <c r="CE118" i="34"/>
  <c r="CE143" i="34"/>
  <c r="BS118" i="34"/>
  <c r="BS143" i="34"/>
  <c r="CJ118" i="34"/>
  <c r="CJ143" i="34"/>
  <c r="BR118" i="34"/>
  <c r="BR143" i="34"/>
  <c r="BE143" i="34"/>
  <c r="C143" i="34"/>
  <c r="CC118" i="34"/>
  <c r="CC143" i="34"/>
  <c r="BU118" i="34"/>
  <c r="BU143" i="34"/>
  <c r="CW118" i="34"/>
  <c r="CW143" i="34"/>
  <c r="BW118" i="34"/>
  <c r="BW143" i="34"/>
  <c r="BY118" i="34"/>
  <c r="BY143" i="34"/>
  <c r="BD143" i="34"/>
  <c r="BI143" i="34"/>
  <c r="BN118" i="34"/>
  <c r="BN143" i="34"/>
  <c r="CT118" i="34"/>
  <c r="CT143" i="34"/>
  <c r="BX118" i="34"/>
  <c r="BX143" i="34"/>
  <c r="CI118" i="34"/>
  <c r="CI143" i="34"/>
  <c r="BG143" i="34"/>
  <c r="BT118" i="34"/>
  <c r="BT143" i="34"/>
  <c r="CL118" i="34"/>
  <c r="CL143" i="34"/>
  <c r="BH143" i="34"/>
  <c r="CQ118" i="34"/>
  <c r="CQ143" i="34"/>
  <c r="CK118" i="34"/>
  <c r="CK143" i="34"/>
  <c r="CB118" i="34"/>
  <c r="CB143" i="34"/>
  <c r="CS118" i="34"/>
  <c r="CS143" i="34"/>
  <c r="BM118" i="34"/>
  <c r="BM143" i="34"/>
  <c r="CU118" i="34"/>
  <c r="CU143" i="34"/>
  <c r="BO118" i="34"/>
  <c r="BO143" i="34"/>
  <c r="BL118" i="34"/>
  <c r="BL143" i="34"/>
  <c r="CO152" i="34"/>
  <c r="CO153" i="34" s="1"/>
  <c r="BZ152" i="34"/>
  <c r="BZ153" i="34" s="1"/>
  <c r="CK152" i="34"/>
  <c r="CK153" i="34" s="1"/>
  <c r="CP152" i="34"/>
  <c r="CP153" i="34" s="1"/>
  <c r="CR152" i="34"/>
  <c r="CR153" i="34" s="1"/>
  <c r="CV152" i="34"/>
  <c r="CV153" i="34" s="1"/>
  <c r="CH152" i="34"/>
  <c r="CH153" i="34" s="1"/>
  <c r="BQ152" i="34"/>
  <c r="BQ153" i="34" s="1"/>
  <c r="CC152" i="34"/>
  <c r="CC153" i="34" s="1"/>
  <c r="BS152" i="34"/>
  <c r="BS153" i="34" s="1"/>
  <c r="CJ152" i="34"/>
  <c r="CJ153" i="34" s="1"/>
  <c r="BR152" i="34"/>
  <c r="BR153" i="34" s="1"/>
  <c r="CT152" i="34"/>
  <c r="CT153" i="34" s="1"/>
  <c r="BX152" i="34"/>
  <c r="BX153" i="34" s="1"/>
  <c r="CI152" i="34"/>
  <c r="CI153" i="34" s="1"/>
  <c r="CB152" i="34"/>
  <c r="CB153" i="34" s="1"/>
  <c r="BT152" i="34"/>
  <c r="BT153" i="34" s="1"/>
  <c r="BY152" i="34"/>
  <c r="BY153" i="34" s="1"/>
  <c r="CX152" i="34"/>
  <c r="CX153" i="34" s="1"/>
  <c r="CU152" i="34"/>
  <c r="CU153" i="34" s="1"/>
  <c r="BO152" i="34"/>
  <c r="BO153" i="34" s="1"/>
  <c r="A100" i="34" l="1"/>
  <c r="BU152" i="34"/>
  <c r="BU153" i="34" s="1"/>
  <c r="BV152" i="34"/>
  <c r="BV153" i="34" s="1"/>
  <c r="CF152" i="34"/>
  <c r="CF153" i="34" s="1"/>
  <c r="BW152" i="34"/>
  <c r="BW153" i="34" s="1"/>
  <c r="CE152" i="34"/>
  <c r="CE153" i="34" s="1"/>
  <c r="BK152" i="34"/>
  <c r="BK153" i="34" s="1"/>
  <c r="CQ152" i="34"/>
  <c r="CQ153" i="34" s="1"/>
  <c r="BP152" i="34"/>
  <c r="BP153" i="34" s="1"/>
  <c r="CG152" i="34"/>
  <c r="CG153" i="34" s="1"/>
  <c r="BM152" i="34"/>
  <c r="BM153" i="34" s="1"/>
  <c r="CN152" i="34"/>
  <c r="CN153" i="34" s="1"/>
  <c r="CA152" i="34"/>
  <c r="CA153" i="34" s="1"/>
  <c r="CW152" i="34"/>
  <c r="CW153" i="34" s="1"/>
  <c r="BN152" i="34"/>
  <c r="BN153" i="34" s="1"/>
  <c r="CM152" i="34"/>
  <c r="CM153" i="34" s="1"/>
  <c r="CD152" i="34"/>
  <c r="CD153" i="34" s="1"/>
  <c r="BL152" i="34"/>
  <c r="BL153" i="34" s="1"/>
  <c r="CL152" i="34"/>
  <c r="CL153" i="34" s="1"/>
  <c r="CS152" i="34"/>
  <c r="CS153" i="34" s="1"/>
  <c r="BD110" i="34" l="1"/>
  <c r="BD118" i="34" s="1"/>
  <c r="BH110" i="34"/>
  <c r="BH118" i="34" s="1"/>
  <c r="BF110" i="34"/>
  <c r="BF118" i="34" s="1"/>
  <c r="BE110" i="34"/>
  <c r="BE114" i="34" s="1"/>
  <c r="BE150" i="34" s="1"/>
  <c r="BE152" i="34" s="1"/>
  <c r="BE153" i="34" s="1"/>
  <c r="BJ110" i="34"/>
  <c r="BJ114" i="34" s="1"/>
  <c r="BJ150" i="34" s="1"/>
  <c r="BJ152" i="34" s="1"/>
  <c r="BJ153" i="34" s="1"/>
  <c r="BG110" i="34"/>
  <c r="BG118" i="34" s="1"/>
  <c r="BI110" i="34"/>
  <c r="BD114" i="34" l="1"/>
  <c r="BD150" i="34" s="1"/>
  <c r="BD152" i="34" s="1"/>
  <c r="BD153" i="34" s="1"/>
  <c r="BJ118" i="34"/>
  <c r="BH114" i="34"/>
  <c r="BH150" i="34" s="1"/>
  <c r="BH152" i="34" s="1"/>
  <c r="BH153" i="34" s="1"/>
  <c r="BF114" i="34"/>
  <c r="BF150" i="34" s="1"/>
  <c r="BF152" i="34" s="1"/>
  <c r="BF153" i="34" s="1"/>
  <c r="BE118" i="34"/>
  <c r="BG114" i="34"/>
  <c r="BG150" i="34" s="1"/>
  <c r="BG152" i="34" s="1"/>
  <c r="BG153" i="34" s="1"/>
  <c r="BI114" i="34"/>
  <c r="BI150" i="34" s="1"/>
  <c r="BI152" i="34" s="1"/>
  <c r="BI153" i="34" s="1"/>
  <c r="BI118" i="34"/>
  <c r="BC88" i="34" l="1"/>
  <c r="AD88" i="34"/>
  <c r="CD88" i="34"/>
  <c r="BQ88" i="34"/>
  <c r="AH88" i="34"/>
  <c r="Q88" i="34"/>
  <c r="CA88" i="34"/>
  <c r="CF88" i="34"/>
  <c r="N88" i="34"/>
  <c r="E88" i="34"/>
  <c r="BF88" i="34"/>
  <c r="H88" i="34"/>
  <c r="CH88" i="34"/>
  <c r="BT88" i="34"/>
  <c r="AO88" i="34"/>
  <c r="G88" i="34"/>
  <c r="AZ88" i="34"/>
  <c r="CG88" i="34"/>
  <c r="X88" i="34"/>
  <c r="K88" i="34"/>
  <c r="AN88" i="34"/>
  <c r="BE88" i="34"/>
  <c r="BL88" i="34"/>
  <c r="AR88" i="34"/>
  <c r="CU88" i="34"/>
  <c r="AX88" i="34"/>
  <c r="BJ88" i="34"/>
  <c r="CB88" i="34"/>
  <c r="CI88" i="34"/>
  <c r="L88" i="34"/>
  <c r="CJ88" i="34"/>
  <c r="F88" i="34"/>
  <c r="AF88" i="34"/>
  <c r="BS88" i="34"/>
  <c r="CE88" i="34"/>
  <c r="CM88" i="34"/>
  <c r="P88" i="34"/>
  <c r="T88" i="34"/>
  <c r="BZ88" i="34"/>
  <c r="CV88" i="34"/>
  <c r="BW88" i="34"/>
  <c r="AB88" i="34"/>
  <c r="Z88" i="34"/>
  <c r="AU88" i="34"/>
  <c r="AA88" i="34"/>
  <c r="W88" i="34"/>
  <c r="AL88" i="34"/>
  <c r="AK88" i="34"/>
  <c r="AT88" i="34"/>
  <c r="I88" i="34"/>
  <c r="CQ88" i="34"/>
  <c r="CT88" i="34"/>
  <c r="AE88" i="34"/>
  <c r="BP88" i="34"/>
  <c r="BD88" i="34"/>
  <c r="AJ88" i="34"/>
  <c r="AV88" i="34"/>
  <c r="CK88" i="34"/>
  <c r="M88" i="34"/>
  <c r="BX88" i="34"/>
  <c r="BK88" i="34"/>
  <c r="CC88" i="34"/>
  <c r="BB88" i="34"/>
  <c r="AS88" i="34"/>
  <c r="U88" i="34"/>
  <c r="AM88" i="34"/>
  <c r="BA88" i="34"/>
  <c r="S88" i="34"/>
  <c r="AQ88" i="34"/>
  <c r="BU88" i="34"/>
  <c r="BN88" i="34"/>
  <c r="CR88" i="34"/>
  <c r="AG88" i="34"/>
  <c r="CO88" i="34"/>
  <c r="BM88" i="34"/>
  <c r="BI88" i="34"/>
  <c r="BO88" i="34"/>
  <c r="CN88" i="34"/>
  <c r="BY88" i="34"/>
  <c r="V88" i="34"/>
  <c r="R88" i="34"/>
  <c r="D88" i="34"/>
  <c r="CX88" i="34"/>
  <c r="BH88" i="34"/>
  <c r="BR88" i="34"/>
  <c r="BG88" i="34"/>
  <c r="AC88" i="34"/>
  <c r="AW88" i="34"/>
  <c r="AP88" i="34"/>
  <c r="CP88" i="34"/>
  <c r="CL88" i="34"/>
  <c r="AI88" i="34"/>
  <c r="Y88" i="34"/>
  <c r="J88" i="34"/>
  <c r="AY88" i="34"/>
  <c r="BV88" i="34"/>
  <c r="CW88" i="34"/>
  <c r="O88" i="34"/>
  <c r="CS88" i="34"/>
  <c r="A88" i="34" l="1"/>
  <c r="B41" i="5" l="1"/>
  <c r="B760" i="5" l="1"/>
  <c r="B761" i="5" s="1"/>
  <c r="B765" i="5" s="1"/>
  <c r="B42" i="5"/>
  <c r="B90" i="5" l="1"/>
  <c r="G546" i="5" s="1"/>
  <c r="B91" i="5"/>
  <c r="F546" i="5" s="1"/>
  <c r="B97" i="5"/>
  <c r="B768" i="5" s="1"/>
  <c r="B769" i="5" s="1"/>
  <c r="B780" i="5" s="1"/>
  <c r="C546" i="5" l="1"/>
  <c r="B546" i="5"/>
  <c r="D546" i="5"/>
  <c r="B576" i="5" s="1"/>
  <c r="E546" i="5"/>
  <c r="B776" i="5" l="1"/>
  <c r="B778" i="5" s="1"/>
  <c r="AF236" i="5" a="1"/>
  <c r="AF236" i="5" s="1"/>
  <c r="AF233" i="5" a="1"/>
  <c r="AF233" i="5" s="1"/>
  <c r="AF234" i="5" a="1"/>
  <c r="AF234" i="5" s="1"/>
  <c r="AF235" i="5" a="1"/>
  <c r="AF235" i="5" s="1"/>
  <c r="AF232" i="5" a="1"/>
  <c r="AF232" i="5" s="1"/>
  <c r="AH236" i="5" a="1"/>
  <c r="AH236" i="5" s="1"/>
  <c r="AH235" i="5" a="1"/>
  <c r="AH235" i="5" s="1"/>
  <c r="AH233" i="5" a="1"/>
  <c r="AH233" i="5" s="1"/>
  <c r="AH234" i="5" a="1"/>
  <c r="AH234" i="5" s="1"/>
  <c r="AH232" i="5" a="1"/>
  <c r="AH232" i="5" s="1"/>
  <c r="B782" i="5" l="1"/>
  <c r="B785" i="5" s="1"/>
  <c r="B788" i="5" s="1"/>
  <c r="AH242" i="5"/>
  <c r="AF242" i="5"/>
  <c r="B28" i="5" l="1"/>
  <c r="B29" i="5" s="1"/>
  <c r="B1131" i="5" s="1"/>
  <c r="B789" i="5"/>
  <c r="B790" i="5"/>
  <c r="B30" i="5"/>
  <c r="B1120" i="5" s="1"/>
  <c r="B1123" i="5" s="1"/>
  <c r="B1137" i="5" s="1"/>
  <c r="B786" i="5" l="1"/>
  <c r="B31" i="5"/>
  <c r="B1114" i="5"/>
  <c r="B1117" i="5" s="1"/>
  <c r="B1136" i="5" s="1"/>
  <c r="B1138" i="5" s="1"/>
  <c r="B1183" i="5" s="1"/>
  <c r="C71" i="34" l="1"/>
  <c r="D106" i="34" s="1"/>
  <c r="AE106" i="34" l="1"/>
  <c r="AF106" i="34"/>
  <c r="AG106" i="34"/>
  <c r="AH106" i="34"/>
  <c r="AI106" i="34"/>
  <c r="AJ106" i="34"/>
  <c r="AK106" i="34"/>
  <c r="AL106" i="34"/>
  <c r="AM106" i="34"/>
  <c r="AN106" i="34"/>
  <c r="AO106" i="34"/>
  <c r="AP106" i="34"/>
  <c r="AQ106" i="34"/>
  <c r="AR106" i="34"/>
  <c r="AS106" i="34"/>
  <c r="AT106" i="34"/>
  <c r="AU106" i="34"/>
  <c r="AV106" i="34"/>
  <c r="AW106" i="34"/>
  <c r="AX106" i="34"/>
  <c r="AY106" i="34"/>
  <c r="AZ106" i="34"/>
  <c r="BA106" i="34"/>
  <c r="BB106" i="34"/>
  <c r="BC106" i="34"/>
  <c r="Z106" i="34"/>
  <c r="AA106" i="34"/>
  <c r="AB106" i="34"/>
  <c r="AC106" i="34"/>
  <c r="AD106" i="34"/>
  <c r="F106" i="34"/>
  <c r="E106" i="34"/>
  <c r="X106" i="34"/>
  <c r="W106" i="34"/>
  <c r="U106" i="34"/>
  <c r="T106" i="34"/>
  <c r="S106" i="34"/>
  <c r="R106" i="34"/>
  <c r="Q106" i="34"/>
  <c r="Y106" i="34"/>
  <c r="L106" i="34"/>
  <c r="P106" i="34"/>
  <c r="O106" i="34"/>
  <c r="M106" i="34"/>
  <c r="K106" i="34"/>
  <c r="J106" i="34"/>
  <c r="H106" i="34"/>
  <c r="G106" i="34"/>
  <c r="I106" i="34"/>
  <c r="V106" i="34"/>
  <c r="N106" i="34"/>
  <c r="B793" i="5"/>
  <c r="B794" i="5" s="1"/>
  <c r="B1149" i="5" s="1"/>
  <c r="A106" i="34" l="1"/>
  <c r="J15" i="86" l="1"/>
  <c r="I15" i="86" s="1"/>
  <c r="B957" i="5"/>
  <c r="B955" i="5" s="1"/>
  <c r="B485" i="5" l="1"/>
  <c r="B954" i="5"/>
  <c r="B958" i="5" s="1"/>
  <c r="B1161" i="5" l="1"/>
  <c r="B568" i="5"/>
  <c r="B1171" i="5" s="1"/>
  <c r="B486" i="5"/>
  <c r="B500" i="5"/>
  <c r="B502" i="5" s="1"/>
  <c r="C500" i="5"/>
  <c r="C502" i="5" s="1"/>
  <c r="B751" i="5"/>
  <c r="B959" i="5"/>
  <c r="B960" i="5" s="1"/>
  <c r="B984" i="5" s="1"/>
  <c r="B949" i="5"/>
  <c r="B975" i="5" s="1"/>
  <c r="B977" i="5" l="1"/>
  <c r="B978" i="5" s="1"/>
  <c r="B979" i="5" s="1"/>
  <c r="B980" i="5" s="1"/>
  <c r="B495" i="5"/>
  <c r="B1144" i="5" s="1"/>
  <c r="B571" i="5"/>
  <c r="B1146" i="5" s="1"/>
  <c r="B487" i="5"/>
  <c r="B1159" i="5" s="1"/>
  <c r="B505" i="5"/>
  <c r="B507" i="5"/>
  <c r="C507" i="5"/>
  <c r="C505" i="5"/>
  <c r="B513" i="5"/>
  <c r="B1168" i="5" s="1"/>
  <c r="B1170" i="5" s="1"/>
  <c r="B1173" i="5" s="1"/>
  <c r="B1184" i="5" s="1"/>
  <c r="B492" i="5"/>
  <c r="B490" i="5"/>
  <c r="B488" i="5"/>
  <c r="B489" i="5"/>
  <c r="B491" i="5"/>
  <c r="C56" i="34"/>
  <c r="B961" i="5"/>
  <c r="B998" i="5" l="1"/>
  <c r="B1003" i="5" s="1"/>
  <c r="B999" i="5"/>
  <c r="B1004" i="5" s="1"/>
  <c r="B1163" i="5" s="1"/>
  <c r="B514" i="5"/>
  <c r="B1160" i="5" s="1"/>
  <c r="B171" i="5" s="1"/>
  <c r="B516" i="5"/>
  <c r="B1145" i="5" s="1"/>
  <c r="B1150" i="5"/>
  <c r="C54" i="34"/>
  <c r="S92" i="34"/>
  <c r="T92" i="34"/>
  <c r="BV92" i="34"/>
  <c r="AE92" i="34"/>
  <c r="CP92" i="34"/>
  <c r="BY92" i="34"/>
  <c r="J92" i="34"/>
  <c r="V92" i="34"/>
  <c r="Q92" i="34"/>
  <c r="CN92" i="34"/>
  <c r="CM92" i="34"/>
  <c r="BG92" i="34"/>
  <c r="AZ92" i="34"/>
  <c r="BI92" i="34"/>
  <c r="AG92" i="34"/>
  <c r="L92" i="34"/>
  <c r="AL92" i="34"/>
  <c r="AV92" i="34"/>
  <c r="CE92" i="34"/>
  <c r="AB92" i="34"/>
  <c r="BM92" i="34"/>
  <c r="AP92" i="34"/>
  <c r="BJ92" i="34"/>
  <c r="AC92" i="34"/>
  <c r="AW92" i="34"/>
  <c r="BR92" i="34"/>
  <c r="U92" i="34"/>
  <c r="BS92" i="34"/>
  <c r="Y92" i="34"/>
  <c r="AQ92" i="34"/>
  <c r="AJ92" i="34"/>
  <c r="K92" i="34"/>
  <c r="CX92" i="34"/>
  <c r="CC92" i="34"/>
  <c r="BX92" i="34"/>
  <c r="AH92" i="34"/>
  <c r="AD92" i="34"/>
  <c r="CB92" i="34"/>
  <c r="AI92" i="34"/>
  <c r="BO92" i="34"/>
  <c r="P92" i="34"/>
  <c r="H92" i="34"/>
  <c r="CK92" i="34"/>
  <c r="AO92" i="34"/>
  <c r="CI92" i="34"/>
  <c r="W92" i="34"/>
  <c r="G92" i="34"/>
  <c r="I92" i="34"/>
  <c r="N92" i="34"/>
  <c r="CL92" i="34"/>
  <c r="CA92" i="34"/>
  <c r="BK92" i="34"/>
  <c r="CH92" i="34"/>
  <c r="BL92" i="34"/>
  <c r="AN92" i="34"/>
  <c r="BE92" i="34"/>
  <c r="CQ92" i="34"/>
  <c r="BZ92" i="34"/>
  <c r="BD92" i="34"/>
  <c r="BB92" i="34"/>
  <c r="AX92" i="34"/>
  <c r="CF92" i="34"/>
  <c r="C92" i="34"/>
  <c r="CV92" i="34"/>
  <c r="BT92" i="34"/>
  <c r="D92" i="34"/>
  <c r="AA92" i="34"/>
  <c r="O92" i="34"/>
  <c r="AK92" i="34"/>
  <c r="BU92" i="34"/>
  <c r="R92" i="34"/>
  <c r="CT92" i="34"/>
  <c r="BW92" i="34"/>
  <c r="BC92" i="34"/>
  <c r="BA92" i="34"/>
  <c r="BF92" i="34"/>
  <c r="CJ92" i="34"/>
  <c r="BP92" i="34"/>
  <c r="X92" i="34"/>
  <c r="BN92" i="34"/>
  <c r="CW92" i="34"/>
  <c r="AU92" i="34"/>
  <c r="CG92" i="34"/>
  <c r="AR92" i="34"/>
  <c r="CU92" i="34"/>
  <c r="CR92" i="34"/>
  <c r="CO92" i="34"/>
  <c r="AY92" i="34"/>
  <c r="BH92" i="34"/>
  <c r="AT92" i="34"/>
  <c r="E92" i="34"/>
  <c r="CD92" i="34"/>
  <c r="BQ92" i="34"/>
  <c r="AS92" i="34"/>
  <c r="F92" i="34"/>
  <c r="AM92" i="34"/>
  <c r="CS92" i="34"/>
  <c r="Z92" i="34"/>
  <c r="AF92" i="34"/>
  <c r="M92" i="34"/>
  <c r="B1158" i="5" l="1"/>
  <c r="J14" i="86"/>
  <c r="J16" i="86" s="1"/>
  <c r="I16" i="86" s="1"/>
  <c r="C55" i="34"/>
  <c r="U91" i="34" s="1"/>
  <c r="B1152" i="5"/>
  <c r="B1154" i="5" s="1"/>
  <c r="C72" i="34"/>
  <c r="AN90" i="34"/>
  <c r="BA90" i="34"/>
  <c r="AV90" i="34"/>
  <c r="BN90" i="34"/>
  <c r="CC90" i="34"/>
  <c r="BX90" i="34"/>
  <c r="AQ90" i="34"/>
  <c r="AL90" i="34"/>
  <c r="CI90" i="34"/>
  <c r="CX90" i="34"/>
  <c r="AC90" i="34"/>
  <c r="BB90" i="34"/>
  <c r="CB90" i="34"/>
  <c r="CH90" i="34"/>
  <c r="R90" i="34"/>
  <c r="O90" i="34"/>
  <c r="H90" i="34"/>
  <c r="V90" i="34"/>
  <c r="AE90" i="34"/>
  <c r="CS90" i="34"/>
  <c r="AM90" i="34"/>
  <c r="W90" i="34"/>
  <c r="AZ90" i="34"/>
  <c r="AY90" i="34"/>
  <c r="Z90" i="34"/>
  <c r="CK90" i="34"/>
  <c r="S90" i="34"/>
  <c r="P90" i="34"/>
  <c r="Q90" i="34"/>
  <c r="AJ90" i="34"/>
  <c r="AI90" i="34"/>
  <c r="BI90" i="34"/>
  <c r="BZ90" i="34"/>
  <c r="AD90" i="34"/>
  <c r="L90" i="34"/>
  <c r="AX90" i="34"/>
  <c r="BF90" i="34"/>
  <c r="BE90" i="34"/>
  <c r="D90" i="34"/>
  <c r="BD90" i="34"/>
  <c r="CQ90" i="34"/>
  <c r="C90" i="34"/>
  <c r="AU90" i="34"/>
  <c r="AP90" i="34"/>
  <c r="CL90" i="34"/>
  <c r="J90" i="34"/>
  <c r="AA90" i="34"/>
  <c r="AH90" i="34"/>
  <c r="AF90" i="34"/>
  <c r="BY90" i="34"/>
  <c r="CG90" i="34"/>
  <c r="CN90" i="34"/>
  <c r="X90" i="34"/>
  <c r="F90" i="34"/>
  <c r="CF90" i="34"/>
  <c r="AR90" i="34"/>
  <c r="BS90" i="34"/>
  <c r="K90" i="34"/>
  <c r="U90" i="34"/>
  <c r="BJ90" i="34"/>
  <c r="CU90" i="34"/>
  <c r="AG90" i="34"/>
  <c r="CR90" i="34"/>
  <c r="BP90" i="34"/>
  <c r="CA90" i="34"/>
  <c r="Y90" i="34"/>
  <c r="CW90" i="34"/>
  <c r="AK90" i="34"/>
  <c r="BW90" i="34"/>
  <c r="AW90" i="34"/>
  <c r="BT90" i="34"/>
  <c r="CO90" i="34"/>
  <c r="CM90" i="34"/>
  <c r="CP90" i="34"/>
  <c r="BC90" i="34"/>
  <c r="E90" i="34"/>
  <c r="AS90" i="34"/>
  <c r="BG90" i="34"/>
  <c r="CJ90" i="34"/>
  <c r="AT90" i="34"/>
  <c r="I90" i="34"/>
  <c r="CE90" i="34"/>
  <c r="BR90" i="34"/>
  <c r="CT90" i="34"/>
  <c r="BO90" i="34"/>
  <c r="G90" i="34"/>
  <c r="AB90" i="34"/>
  <c r="BK90" i="34"/>
  <c r="N90" i="34"/>
  <c r="AO90" i="34"/>
  <c r="T90" i="34"/>
  <c r="BV90" i="34"/>
  <c r="CV90" i="34"/>
  <c r="BU90" i="34"/>
  <c r="BM90" i="34"/>
  <c r="BL90" i="34"/>
  <c r="BQ90" i="34"/>
  <c r="CD90" i="34"/>
  <c r="M90" i="34"/>
  <c r="BH90" i="34"/>
  <c r="A92" i="34"/>
  <c r="C58" i="34"/>
  <c r="AP107" i="34" l="1"/>
  <c r="AH107" i="34"/>
  <c r="B169" i="5"/>
  <c r="D172" i="5" s="1"/>
  <c r="C30" i="34" s="1"/>
  <c r="B1165" i="5"/>
  <c r="B1182" i="5"/>
  <c r="C70" i="34" s="1"/>
  <c r="D105" i="34" s="1"/>
  <c r="B1181" i="5"/>
  <c r="C69" i="34" s="1"/>
  <c r="AG107" i="34"/>
  <c r="BA107" i="34"/>
  <c r="AB107" i="34"/>
  <c r="AI107" i="34"/>
  <c r="I14" i="86"/>
  <c r="AD107" i="34"/>
  <c r="BC107" i="34"/>
  <c r="BA91" i="34"/>
  <c r="E91" i="34"/>
  <c r="CW91" i="34"/>
  <c r="BW91" i="34"/>
  <c r="Y91" i="34"/>
  <c r="CV91" i="34"/>
  <c r="S91" i="34"/>
  <c r="AS91" i="34"/>
  <c r="P91" i="34"/>
  <c r="BG91" i="34"/>
  <c r="CO91" i="34"/>
  <c r="AT91" i="34"/>
  <c r="BQ91" i="34"/>
  <c r="V91" i="34"/>
  <c r="AL91" i="34"/>
  <c r="CL91" i="34"/>
  <c r="BL91" i="34"/>
  <c r="BM91" i="34"/>
  <c r="BC91" i="34"/>
  <c r="AJ91" i="34"/>
  <c r="BR91" i="34"/>
  <c r="Z91" i="34"/>
  <c r="AK91" i="34"/>
  <c r="AU91" i="34"/>
  <c r="CK91" i="34"/>
  <c r="AQ91" i="34"/>
  <c r="CJ91" i="34"/>
  <c r="CM91" i="34"/>
  <c r="N91" i="34"/>
  <c r="AY91" i="34"/>
  <c r="Q91" i="34"/>
  <c r="K91" i="34"/>
  <c r="AW91" i="34"/>
  <c r="CB91" i="34"/>
  <c r="CQ91" i="34"/>
  <c r="AC91" i="34"/>
  <c r="BY91" i="34"/>
  <c r="AF91" i="34"/>
  <c r="AV91" i="34"/>
  <c r="CF91" i="34"/>
  <c r="AR91" i="34"/>
  <c r="CG91" i="34"/>
  <c r="BZ91" i="34"/>
  <c r="BB91" i="34"/>
  <c r="BV91" i="34"/>
  <c r="L91" i="34"/>
  <c r="CN91" i="34"/>
  <c r="CU91" i="34"/>
  <c r="G91" i="34"/>
  <c r="BK91" i="34"/>
  <c r="CR91" i="34"/>
  <c r="AN91" i="34"/>
  <c r="BN91" i="34"/>
  <c r="I91" i="34"/>
  <c r="CI91" i="34"/>
  <c r="X91" i="34"/>
  <c r="BT91" i="34"/>
  <c r="CA91" i="34"/>
  <c r="CP91" i="34"/>
  <c r="J91" i="34"/>
  <c r="BH91" i="34"/>
  <c r="CC91" i="34"/>
  <c r="CX91" i="34"/>
  <c r="BP91" i="34"/>
  <c r="AE91" i="34"/>
  <c r="BX91" i="34"/>
  <c r="BS91" i="34"/>
  <c r="F91" i="34"/>
  <c r="BO91" i="34"/>
  <c r="CE91" i="34"/>
  <c r="AO91" i="34"/>
  <c r="BJ91" i="34"/>
  <c r="M91" i="34"/>
  <c r="BE91" i="34"/>
  <c r="CH91" i="34"/>
  <c r="CD91" i="34"/>
  <c r="T91" i="34"/>
  <c r="H91" i="34"/>
  <c r="AH91" i="34"/>
  <c r="O91" i="34"/>
  <c r="AM91" i="34"/>
  <c r="CS91" i="34"/>
  <c r="BU91" i="34"/>
  <c r="BF91" i="34"/>
  <c r="AD91" i="34"/>
  <c r="AZ91" i="34"/>
  <c r="AP91" i="34"/>
  <c r="AX91" i="34"/>
  <c r="BI91" i="34"/>
  <c r="AB91" i="34"/>
  <c r="AI91" i="34"/>
  <c r="AG91" i="34"/>
  <c r="R91" i="34"/>
  <c r="AA91" i="34"/>
  <c r="CT91" i="34"/>
  <c r="W91" i="34"/>
  <c r="C91" i="34"/>
  <c r="D91" i="34"/>
  <c r="BD91" i="34"/>
  <c r="Y107" i="34"/>
  <c r="X107" i="34"/>
  <c r="B1153" i="5"/>
  <c r="B1189" i="5"/>
  <c r="I17" i="86" s="1"/>
  <c r="A90" i="34"/>
  <c r="C53" i="34"/>
  <c r="AP89" i="34" s="1"/>
  <c r="C94" i="34"/>
  <c r="AR94" i="34"/>
  <c r="BY94" i="34"/>
  <c r="BV94" i="34"/>
  <c r="H94" i="34"/>
  <c r="N94" i="34"/>
  <c r="BT94" i="34"/>
  <c r="AM94" i="34"/>
  <c r="BR94" i="34"/>
  <c r="BM94" i="34"/>
  <c r="O94" i="34"/>
  <c r="BL94" i="34"/>
  <c r="AN94" i="34"/>
  <c r="AK94" i="34"/>
  <c r="AA94" i="34"/>
  <c r="CW94" i="34"/>
  <c r="BO94" i="34"/>
  <c r="Q94" i="34"/>
  <c r="CJ94" i="34"/>
  <c r="L94" i="34"/>
  <c r="K94" i="34"/>
  <c r="BF94" i="34"/>
  <c r="CA94" i="34"/>
  <c r="BZ94" i="34"/>
  <c r="W94" i="34"/>
  <c r="BQ94" i="34"/>
  <c r="CL94" i="34"/>
  <c r="BN94" i="34"/>
  <c r="I94" i="34"/>
  <c r="CM94" i="34"/>
  <c r="BG94" i="34"/>
  <c r="CS94" i="34"/>
  <c r="CP94" i="34"/>
  <c r="CT94" i="34"/>
  <c r="CR94" i="34"/>
  <c r="CD94" i="34"/>
  <c r="Y94" i="34"/>
  <c r="CU94" i="34"/>
  <c r="CF94" i="34"/>
  <c r="BD94" i="34"/>
  <c r="AQ94" i="34"/>
  <c r="AT94" i="34"/>
  <c r="AB94" i="34"/>
  <c r="Z94" i="34"/>
  <c r="AU94" i="34"/>
  <c r="CI94" i="34"/>
  <c r="V94" i="34"/>
  <c r="J94" i="34"/>
  <c r="AF94" i="34"/>
  <c r="AJ94" i="34"/>
  <c r="D94" i="34"/>
  <c r="F94" i="34"/>
  <c r="U94" i="34"/>
  <c r="BC94" i="34"/>
  <c r="BI94" i="34"/>
  <c r="BK94" i="34"/>
  <c r="P94" i="34"/>
  <c r="CC94" i="34"/>
  <c r="S94" i="34"/>
  <c r="AW94" i="34"/>
  <c r="BA94" i="34"/>
  <c r="AL94" i="34"/>
  <c r="BX94" i="34"/>
  <c r="CQ94" i="34"/>
  <c r="G94" i="34"/>
  <c r="BB94" i="34"/>
  <c r="R94" i="34"/>
  <c r="CG94" i="34"/>
  <c r="T94" i="34"/>
  <c r="CN94" i="34"/>
  <c r="CO94" i="34"/>
  <c r="E94" i="34"/>
  <c r="AI94" i="34"/>
  <c r="CX94" i="34"/>
  <c r="BU94" i="34"/>
  <c r="AV94" i="34"/>
  <c r="AE94" i="34"/>
  <c r="CV94" i="34"/>
  <c r="X94" i="34"/>
  <c r="AS94" i="34"/>
  <c r="AY94" i="34"/>
  <c r="CK94" i="34"/>
  <c r="CB94" i="34"/>
  <c r="AH94" i="34"/>
  <c r="BH94" i="34"/>
  <c r="AO94" i="34"/>
  <c r="BW94" i="34"/>
  <c r="AP94" i="34"/>
  <c r="AG94" i="34"/>
  <c r="AD94" i="34"/>
  <c r="M94" i="34"/>
  <c r="BJ94" i="34"/>
  <c r="CH94" i="34"/>
  <c r="AX94" i="34"/>
  <c r="CE94" i="34"/>
  <c r="BS94" i="34"/>
  <c r="AC94" i="34"/>
  <c r="BP94" i="34"/>
  <c r="BE94" i="34"/>
  <c r="AZ94" i="34"/>
  <c r="B1185" i="5" l="1"/>
  <c r="B1186" i="5" s="1"/>
  <c r="B1193" i="5" s="1"/>
  <c r="AF104" i="34"/>
  <c r="D104" i="34"/>
  <c r="AK104" i="34"/>
  <c r="AI104" i="34"/>
  <c r="AJ104" i="34"/>
  <c r="AE104" i="34"/>
  <c r="AH104" i="34"/>
  <c r="AG104" i="34"/>
  <c r="E105" i="34"/>
  <c r="AL105" i="34"/>
  <c r="AM105" i="34"/>
  <c r="AN105" i="34"/>
  <c r="AO105" i="34"/>
  <c r="AP105" i="34"/>
  <c r="AQ105" i="34"/>
  <c r="AR105" i="34"/>
  <c r="AS105" i="34"/>
  <c r="AT105" i="34"/>
  <c r="AU105" i="34"/>
  <c r="AV105" i="34"/>
  <c r="AW105" i="34"/>
  <c r="AX105" i="34"/>
  <c r="AY105" i="34"/>
  <c r="AZ105" i="34"/>
  <c r="BA105" i="34"/>
  <c r="BB105" i="34"/>
  <c r="BC105" i="34"/>
  <c r="AD104" i="34"/>
  <c r="AL104" i="34"/>
  <c r="AM104" i="34"/>
  <c r="AN104" i="34"/>
  <c r="AO104" i="34"/>
  <c r="AP104" i="34"/>
  <c r="AQ104" i="34"/>
  <c r="AR104" i="34"/>
  <c r="AS104" i="34"/>
  <c r="AT104" i="34"/>
  <c r="AU104" i="34"/>
  <c r="AV104" i="34"/>
  <c r="AW104" i="34"/>
  <c r="AX104" i="34"/>
  <c r="AY104" i="34"/>
  <c r="AZ104" i="34"/>
  <c r="BA104" i="34"/>
  <c r="BB104" i="34"/>
  <c r="BC104" i="34"/>
  <c r="E4" i="86"/>
  <c r="AP96" i="34"/>
  <c r="AP109" i="34" s="1"/>
  <c r="E36" i="86"/>
  <c r="A91" i="34"/>
  <c r="AC104" i="34"/>
  <c r="AB104" i="34"/>
  <c r="Z104" i="34"/>
  <c r="N104" i="34"/>
  <c r="E104" i="34"/>
  <c r="A107" i="34"/>
  <c r="X104" i="34"/>
  <c r="W104" i="34"/>
  <c r="R104" i="34"/>
  <c r="L104" i="34"/>
  <c r="G104" i="34"/>
  <c r="V104" i="34"/>
  <c r="M104" i="34"/>
  <c r="P104" i="34"/>
  <c r="F104" i="34"/>
  <c r="F105" i="34"/>
  <c r="G105" i="34"/>
  <c r="U104" i="34"/>
  <c r="K104" i="34"/>
  <c r="T104" i="34"/>
  <c r="J104" i="34"/>
  <c r="AA104" i="34"/>
  <c r="S104" i="34"/>
  <c r="Y104" i="34"/>
  <c r="Q104" i="34"/>
  <c r="I104" i="34"/>
  <c r="H104" i="34"/>
  <c r="O104" i="34"/>
  <c r="AB105" i="34"/>
  <c r="AC105" i="34"/>
  <c r="AD105" i="34"/>
  <c r="AE105" i="34"/>
  <c r="AF105" i="34"/>
  <c r="AG105" i="34"/>
  <c r="AH105" i="34"/>
  <c r="AJ105" i="34"/>
  <c r="AI105" i="34"/>
  <c r="AK105" i="34"/>
  <c r="C73" i="34"/>
  <c r="H105" i="34"/>
  <c r="I105" i="34"/>
  <c r="J105" i="34"/>
  <c r="K105" i="34"/>
  <c r="L105" i="34"/>
  <c r="M105" i="34"/>
  <c r="N105" i="34"/>
  <c r="O105" i="34"/>
  <c r="P105" i="34"/>
  <c r="Q105" i="34"/>
  <c r="R105" i="34"/>
  <c r="S105" i="34"/>
  <c r="T105" i="34"/>
  <c r="U105" i="34"/>
  <c r="V105" i="34"/>
  <c r="W105" i="34"/>
  <c r="X105" i="34"/>
  <c r="Y105" i="34"/>
  <c r="Z105" i="34"/>
  <c r="AA105" i="34"/>
  <c r="B1190" i="5"/>
  <c r="AY89" i="34"/>
  <c r="BW89" i="34"/>
  <c r="CB89" i="34"/>
  <c r="CH89" i="34"/>
  <c r="BE89" i="34"/>
  <c r="BB89" i="34"/>
  <c r="AC89" i="34"/>
  <c r="AK89" i="34"/>
  <c r="BL89" i="34"/>
  <c r="CE89" i="34"/>
  <c r="F89" i="34"/>
  <c r="BY89" i="34"/>
  <c r="AN89" i="34"/>
  <c r="L89" i="34"/>
  <c r="BQ89" i="34"/>
  <c r="BM89" i="34"/>
  <c r="BX89" i="34"/>
  <c r="CW89" i="34"/>
  <c r="AF89" i="34"/>
  <c r="AG89" i="34"/>
  <c r="AS89" i="34"/>
  <c r="BH89" i="34"/>
  <c r="I89" i="34"/>
  <c r="BS89" i="34"/>
  <c r="E89" i="34"/>
  <c r="BK89" i="34"/>
  <c r="AL89" i="34"/>
  <c r="CS89" i="34"/>
  <c r="BI89" i="34"/>
  <c r="BT89" i="34"/>
  <c r="AM89" i="34"/>
  <c r="CX89" i="34"/>
  <c r="D89" i="34"/>
  <c r="CG89" i="34"/>
  <c r="J89" i="34"/>
  <c r="CJ89" i="34"/>
  <c r="BU89" i="34"/>
  <c r="W89" i="34"/>
  <c r="AV89" i="34"/>
  <c r="AI89" i="34"/>
  <c r="CP89" i="34"/>
  <c r="P89" i="34"/>
  <c r="BZ89" i="34"/>
  <c r="AR89" i="34"/>
  <c r="V89" i="34"/>
  <c r="BG89" i="34"/>
  <c r="CF89" i="34"/>
  <c r="H89" i="34"/>
  <c r="BP89" i="34"/>
  <c r="CC89" i="34"/>
  <c r="BR89" i="34"/>
  <c r="CV89" i="34"/>
  <c r="CA89" i="34"/>
  <c r="AH89" i="34"/>
  <c r="Q89" i="34"/>
  <c r="AX89" i="34"/>
  <c r="BC89" i="34"/>
  <c r="AB89" i="34"/>
  <c r="CI89" i="34"/>
  <c r="CN89" i="34"/>
  <c r="BN89" i="34"/>
  <c r="BJ89" i="34"/>
  <c r="C60" i="34"/>
  <c r="M89" i="34"/>
  <c r="CR89" i="34"/>
  <c r="CU89" i="34"/>
  <c r="CL89" i="34"/>
  <c r="U89" i="34"/>
  <c r="CM89" i="34"/>
  <c r="BO89" i="34"/>
  <c r="R89" i="34"/>
  <c r="BD89" i="34"/>
  <c r="AA89" i="34"/>
  <c r="K89" i="34"/>
  <c r="AW89" i="34"/>
  <c r="AD89" i="34"/>
  <c r="CT89" i="34"/>
  <c r="N89" i="34"/>
  <c r="AZ89" i="34"/>
  <c r="BF89" i="34"/>
  <c r="AJ89" i="34"/>
  <c r="AE89" i="34"/>
  <c r="AT89" i="34"/>
  <c r="Z89" i="34"/>
  <c r="CO89" i="34"/>
  <c r="C89" i="34"/>
  <c r="CK89" i="34"/>
  <c r="BV89" i="34"/>
  <c r="AU89" i="34"/>
  <c r="CD89" i="34"/>
  <c r="AQ89" i="34"/>
  <c r="O89" i="34"/>
  <c r="G89" i="34"/>
  <c r="X89" i="34"/>
  <c r="T89" i="34"/>
  <c r="Y89" i="34"/>
  <c r="CQ89" i="34"/>
  <c r="S89" i="34"/>
  <c r="BA89" i="34"/>
  <c r="AO89" i="34"/>
  <c r="B1191" i="5"/>
  <c r="C172" i="5"/>
  <c r="C13" i="34" s="1"/>
  <c r="A94" i="34"/>
  <c r="AF110" i="34" l="1"/>
  <c r="AF114" i="34" s="1"/>
  <c r="AF150" i="34" s="1"/>
  <c r="F6" i="86"/>
  <c r="AI110" i="34"/>
  <c r="AI118" i="34" s="1"/>
  <c r="AE110" i="34"/>
  <c r="AE114" i="34" s="1"/>
  <c r="AE150" i="34" s="1"/>
  <c r="AJ110" i="34"/>
  <c r="AJ114" i="34" s="1"/>
  <c r="AJ150" i="34" s="1"/>
  <c r="AD110" i="34"/>
  <c r="AD118" i="34" s="1"/>
  <c r="AV110" i="34"/>
  <c r="AV118" i="34" s="1"/>
  <c r="AN110" i="34"/>
  <c r="AN118" i="34" s="1"/>
  <c r="E110" i="34"/>
  <c r="E118" i="34" s="1"/>
  <c r="BA110" i="34"/>
  <c r="BA114" i="34" s="1"/>
  <c r="BA150" i="34" s="1"/>
  <c r="AS110" i="34"/>
  <c r="AS114" i="34" s="1"/>
  <c r="AS150" i="34" s="1"/>
  <c r="AZ110" i="34"/>
  <c r="AZ114" i="34" s="1"/>
  <c r="AZ150" i="34" s="1"/>
  <c r="AR110" i="34"/>
  <c r="AR118" i="34" s="1"/>
  <c r="AK110" i="34"/>
  <c r="AK118" i="34" s="1"/>
  <c r="AU110" i="34"/>
  <c r="AU114" i="34" s="1"/>
  <c r="AU150" i="34" s="1"/>
  <c r="AG110" i="34"/>
  <c r="AG114" i="34" s="1"/>
  <c r="AG150" i="34" s="1"/>
  <c r="BB110" i="34"/>
  <c r="BB118" i="34" s="1"/>
  <c r="AT110" i="34"/>
  <c r="AT118" i="34" s="1"/>
  <c r="AL110" i="34"/>
  <c r="AL118" i="34" s="1"/>
  <c r="BC110" i="34"/>
  <c r="BC114" i="34" s="1"/>
  <c r="BC150" i="34" s="1"/>
  <c r="AM110" i="34"/>
  <c r="AM118" i="34" s="1"/>
  <c r="AY110" i="34"/>
  <c r="AQ110" i="34"/>
  <c r="AX110" i="34"/>
  <c r="AP110" i="34"/>
  <c r="AH110" i="34"/>
  <c r="AH114" i="34" s="1"/>
  <c r="AH150" i="34" s="1"/>
  <c r="AW110" i="34"/>
  <c r="AO110" i="34"/>
  <c r="CQ96" i="34"/>
  <c r="CQ109" i="34" s="1"/>
  <c r="CQ117" i="34" s="1"/>
  <c r="AU96" i="34"/>
  <c r="AU109" i="34" s="1"/>
  <c r="AU117" i="34" s="1"/>
  <c r="AJ96" i="34"/>
  <c r="AJ109" i="34" s="1"/>
  <c r="AJ113" i="34" s="1"/>
  <c r="AA96" i="34"/>
  <c r="AA109" i="34" s="1"/>
  <c r="AA113" i="34" s="1"/>
  <c r="CR96" i="34"/>
  <c r="CR109" i="34" s="1"/>
  <c r="CR113" i="34" s="1"/>
  <c r="BC96" i="34"/>
  <c r="BC109" i="34" s="1"/>
  <c r="BC113" i="34" s="1"/>
  <c r="BP96" i="34"/>
  <c r="BP109" i="34" s="1"/>
  <c r="BP117" i="34" s="1"/>
  <c r="CP96" i="34"/>
  <c r="CP109" i="34" s="1"/>
  <c r="CP113" i="34" s="1"/>
  <c r="D96" i="34"/>
  <c r="D109" i="34" s="1"/>
  <c r="D113" i="34" s="1"/>
  <c r="E96" i="34"/>
  <c r="E109" i="34" s="1"/>
  <c r="E117" i="34" s="1"/>
  <c r="BX96" i="34"/>
  <c r="BX109" i="34" s="1"/>
  <c r="BX113" i="34" s="1"/>
  <c r="BL96" i="34"/>
  <c r="BL109" i="34" s="1"/>
  <c r="BL117" i="34" s="1"/>
  <c r="AY96" i="34"/>
  <c r="AY109" i="34" s="1"/>
  <c r="AY113" i="34" s="1"/>
  <c r="M96" i="34"/>
  <c r="M109" i="34" s="1"/>
  <c r="M113" i="34" s="1"/>
  <c r="CX96" i="34"/>
  <c r="CX109" i="34" s="1"/>
  <c r="CX117" i="34" s="1"/>
  <c r="T96" i="34"/>
  <c r="T109" i="34" s="1"/>
  <c r="T117" i="34" s="1"/>
  <c r="CK96" i="34"/>
  <c r="CK109" i="34" s="1"/>
  <c r="CK117" i="34" s="1"/>
  <c r="AZ96" i="34"/>
  <c r="AZ109" i="34" s="1"/>
  <c r="AZ113" i="34" s="1"/>
  <c r="R96" i="34"/>
  <c r="R109" i="34" s="1"/>
  <c r="R117" i="34" s="1"/>
  <c r="Q96" i="34"/>
  <c r="Q109" i="34" s="1"/>
  <c r="Q113" i="34" s="1"/>
  <c r="CF96" i="34"/>
  <c r="CF109" i="34" s="1"/>
  <c r="CF117" i="34" s="1"/>
  <c r="AV96" i="34"/>
  <c r="AV109" i="34" s="1"/>
  <c r="AV117" i="34" s="1"/>
  <c r="AM96" i="34"/>
  <c r="AM109" i="34" s="1"/>
  <c r="AM113" i="34" s="1"/>
  <c r="I96" i="34"/>
  <c r="I109" i="34" s="1"/>
  <c r="I117" i="34" s="1"/>
  <c r="BQ96" i="34"/>
  <c r="BQ109" i="34" s="1"/>
  <c r="BQ113" i="34" s="1"/>
  <c r="AC96" i="34"/>
  <c r="AC109" i="34" s="1"/>
  <c r="AC117" i="34" s="1"/>
  <c r="BV96" i="34"/>
  <c r="BV109" i="34" s="1"/>
  <c r="BV113" i="34" s="1"/>
  <c r="BM96" i="34"/>
  <c r="BM109" i="34" s="1"/>
  <c r="BM113" i="34" s="1"/>
  <c r="X96" i="34"/>
  <c r="X109" i="34" s="1"/>
  <c r="X117" i="34" s="1"/>
  <c r="N96" i="34"/>
  <c r="N109" i="34" s="1"/>
  <c r="N117" i="34" s="1"/>
  <c r="BO96" i="34"/>
  <c r="BO109" i="34" s="1"/>
  <c r="BO113" i="34" s="1"/>
  <c r="BJ96" i="34"/>
  <c r="BJ109" i="34" s="1"/>
  <c r="BJ113" i="34" s="1"/>
  <c r="AH96" i="34"/>
  <c r="AH109" i="34" s="1"/>
  <c r="AH117" i="34" s="1"/>
  <c r="BG96" i="34"/>
  <c r="BG109" i="34" s="1"/>
  <c r="BG113" i="34" s="1"/>
  <c r="W96" i="34"/>
  <c r="W109" i="34" s="1"/>
  <c r="W113" i="34" s="1"/>
  <c r="BT96" i="34"/>
  <c r="BT109" i="34" s="1"/>
  <c r="BT117" i="34" s="1"/>
  <c r="BH96" i="34"/>
  <c r="BH109" i="34" s="1"/>
  <c r="BH113" i="34" s="1"/>
  <c r="L96" i="34"/>
  <c r="L109" i="34" s="1"/>
  <c r="L113" i="34" s="1"/>
  <c r="BB96" i="34"/>
  <c r="BB109" i="34" s="1"/>
  <c r="BB113" i="34" s="1"/>
  <c r="BF96" i="34"/>
  <c r="BF109" i="34" s="1"/>
  <c r="BF113" i="34" s="1"/>
  <c r="AX96" i="34"/>
  <c r="AX109" i="34" s="1"/>
  <c r="AX117" i="34" s="1"/>
  <c r="AI96" i="34"/>
  <c r="AI109" i="34" s="1"/>
  <c r="AI113" i="34" s="1"/>
  <c r="BS96" i="34"/>
  <c r="BS109" i="34" s="1"/>
  <c r="BS117" i="34" s="1"/>
  <c r="AK96" i="34"/>
  <c r="AK109" i="34" s="1"/>
  <c r="AK113" i="34" s="1"/>
  <c r="G96" i="34"/>
  <c r="G109" i="34" s="1"/>
  <c r="G113" i="34" s="1"/>
  <c r="CO96" i="34"/>
  <c r="CO109" i="34" s="1"/>
  <c r="CO117" i="34" s="1"/>
  <c r="CT96" i="34"/>
  <c r="CT109" i="34" s="1"/>
  <c r="CT113" i="34" s="1"/>
  <c r="CM96" i="34"/>
  <c r="CM109" i="34" s="1"/>
  <c r="CM113" i="34" s="1"/>
  <c r="BN96" i="34"/>
  <c r="BN109" i="34" s="1"/>
  <c r="BN117" i="34" s="1"/>
  <c r="CA96" i="34"/>
  <c r="CA109" i="34" s="1"/>
  <c r="CA117" i="34" s="1"/>
  <c r="V96" i="34"/>
  <c r="V109" i="34" s="1"/>
  <c r="V117" i="34" s="1"/>
  <c r="BU96" i="34"/>
  <c r="BU109" i="34" s="1"/>
  <c r="BU113" i="34" s="1"/>
  <c r="BI96" i="34"/>
  <c r="BI109" i="34" s="1"/>
  <c r="BI113" i="34" s="1"/>
  <c r="AS96" i="34"/>
  <c r="AS109" i="34" s="1"/>
  <c r="AS117" i="34" s="1"/>
  <c r="AN96" i="34"/>
  <c r="AN109" i="34" s="1"/>
  <c r="AN117" i="34" s="1"/>
  <c r="BE96" i="34"/>
  <c r="BE109" i="34" s="1"/>
  <c r="BE117" i="34" s="1"/>
  <c r="Y96" i="34"/>
  <c r="Y109" i="34" s="1"/>
  <c r="Y117" i="34" s="1"/>
  <c r="AO96" i="34"/>
  <c r="AO109" i="34" s="1"/>
  <c r="AO113" i="34" s="1"/>
  <c r="Z96" i="34"/>
  <c r="Z109" i="34" s="1"/>
  <c r="Z117" i="34" s="1"/>
  <c r="U96" i="34"/>
  <c r="U109" i="34" s="1"/>
  <c r="U113" i="34" s="1"/>
  <c r="CV96" i="34"/>
  <c r="CV109" i="34" s="1"/>
  <c r="CV113" i="34" s="1"/>
  <c r="CJ96" i="34"/>
  <c r="CJ109" i="34" s="1"/>
  <c r="CJ113" i="34" s="1"/>
  <c r="AG96" i="34"/>
  <c r="AG109" i="34" s="1"/>
  <c r="AG117" i="34" s="1"/>
  <c r="CH96" i="34"/>
  <c r="CH109" i="34" s="1"/>
  <c r="CH113" i="34" s="1"/>
  <c r="BA96" i="34"/>
  <c r="BA109" i="34" s="1"/>
  <c r="BA117" i="34" s="1"/>
  <c r="AQ96" i="34"/>
  <c r="AQ109" i="34" s="1"/>
  <c r="AQ113" i="34" s="1"/>
  <c r="AT96" i="34"/>
  <c r="AT109" i="34" s="1"/>
  <c r="AT117" i="34" s="1"/>
  <c r="AW96" i="34"/>
  <c r="AW109" i="34" s="1"/>
  <c r="AW113" i="34" s="1"/>
  <c r="CL96" i="34"/>
  <c r="CL109" i="34" s="1"/>
  <c r="CL117" i="34" s="1"/>
  <c r="CI96" i="34"/>
  <c r="CI109" i="34" s="1"/>
  <c r="CI113" i="34" s="1"/>
  <c r="BR96" i="34"/>
  <c r="BR109" i="34" s="1"/>
  <c r="BR113" i="34" s="1"/>
  <c r="BZ96" i="34"/>
  <c r="BZ109" i="34" s="1"/>
  <c r="BZ113" i="34" s="1"/>
  <c r="J96" i="34"/>
  <c r="J109" i="34" s="1"/>
  <c r="J113" i="34" s="1"/>
  <c r="AL96" i="34"/>
  <c r="AL109" i="34" s="1"/>
  <c r="AL117" i="34" s="1"/>
  <c r="AF96" i="34"/>
  <c r="AF109" i="34" s="1"/>
  <c r="AF117" i="34" s="1"/>
  <c r="F96" i="34"/>
  <c r="F109" i="34" s="1"/>
  <c r="F113" i="34" s="1"/>
  <c r="CB96" i="34"/>
  <c r="CB109" i="34" s="1"/>
  <c r="CB117" i="34" s="1"/>
  <c r="BD96" i="34"/>
  <c r="BD109" i="34" s="1"/>
  <c r="BD117" i="34" s="1"/>
  <c r="O96" i="34"/>
  <c r="O109" i="34" s="1"/>
  <c r="O117" i="34" s="1"/>
  <c r="AD96" i="34"/>
  <c r="AD109" i="34" s="1"/>
  <c r="AD113" i="34" s="1"/>
  <c r="CN96" i="34"/>
  <c r="CN109" i="34" s="1"/>
  <c r="CN113" i="34" s="1"/>
  <c r="AR96" i="34"/>
  <c r="AR109" i="34" s="1"/>
  <c r="AR113" i="34" s="1"/>
  <c r="CS96" i="34"/>
  <c r="CS109" i="34" s="1"/>
  <c r="CS113" i="34" s="1"/>
  <c r="BY96" i="34"/>
  <c r="BY109" i="34" s="1"/>
  <c r="BY117" i="34" s="1"/>
  <c r="S96" i="34"/>
  <c r="S109" i="34" s="1"/>
  <c r="S113" i="34" s="1"/>
  <c r="CD96" i="34"/>
  <c r="CD109" i="34" s="1"/>
  <c r="CD117" i="34" s="1"/>
  <c r="AE96" i="34"/>
  <c r="AE109" i="34" s="1"/>
  <c r="AE113" i="34" s="1"/>
  <c r="K96" i="34"/>
  <c r="K109" i="34" s="1"/>
  <c r="K113" i="34" s="1"/>
  <c r="CU96" i="34"/>
  <c r="CU109" i="34" s="1"/>
  <c r="CU117" i="34" s="1"/>
  <c r="AB96" i="34"/>
  <c r="AB109" i="34" s="1"/>
  <c r="AB113" i="34" s="1"/>
  <c r="CC96" i="34"/>
  <c r="CC109" i="34" s="1"/>
  <c r="CC113" i="34" s="1"/>
  <c r="P96" i="34"/>
  <c r="P109" i="34" s="1"/>
  <c r="P117" i="34" s="1"/>
  <c r="CG96" i="34"/>
  <c r="CG109" i="34" s="1"/>
  <c r="CG113" i="34" s="1"/>
  <c r="BK96" i="34"/>
  <c r="BK109" i="34" s="1"/>
  <c r="BK117" i="34" s="1"/>
  <c r="CW96" i="34"/>
  <c r="CW109" i="34" s="1"/>
  <c r="CW117" i="34" s="1"/>
  <c r="CE96" i="34"/>
  <c r="CE109" i="34" s="1"/>
  <c r="CE113" i="34" s="1"/>
  <c r="BW96" i="34"/>
  <c r="BW109" i="34" s="1"/>
  <c r="BW113" i="34" s="1"/>
  <c r="AB110" i="34"/>
  <c r="AB114" i="34" s="1"/>
  <c r="AB150" i="34" s="1"/>
  <c r="AC110" i="34"/>
  <c r="AC114" i="34" s="1"/>
  <c r="AC150" i="34" s="1"/>
  <c r="Z110" i="34"/>
  <c r="Z114" i="34" s="1"/>
  <c r="Z150" i="34" s="1"/>
  <c r="C9" i="34"/>
  <c r="C47" i="34" s="1"/>
  <c r="E12" i="86"/>
  <c r="B1194" i="5"/>
  <c r="E8" i="86" s="1"/>
  <c r="F8" i="86" s="1"/>
  <c r="B1195" i="5"/>
  <c r="B1192" i="5"/>
  <c r="E7" i="86" s="1"/>
  <c r="Y110" i="34"/>
  <c r="Y114" i="34" s="1"/>
  <c r="Y150" i="34" s="1"/>
  <c r="AA110" i="34"/>
  <c r="AA118" i="34" s="1"/>
  <c r="E35" i="86"/>
  <c r="A105" i="34"/>
  <c r="C96" i="34"/>
  <c r="C109" i="34" s="1"/>
  <c r="T110" i="34"/>
  <c r="T114" i="34" s="1"/>
  <c r="T150" i="34" s="1"/>
  <c r="L110" i="34"/>
  <c r="L114" i="34" s="1"/>
  <c r="L150" i="34" s="1"/>
  <c r="F110" i="34"/>
  <c r="F114" i="34" s="1"/>
  <c r="F150" i="34" s="1"/>
  <c r="A89" i="34"/>
  <c r="H96" i="34"/>
  <c r="H109" i="34" s="1"/>
  <c r="H113" i="34" s="1"/>
  <c r="G110" i="34"/>
  <c r="G114" i="34" s="1"/>
  <c r="G150" i="34" s="1"/>
  <c r="U110" i="34"/>
  <c r="U114" i="34" s="1"/>
  <c r="U150" i="34" s="1"/>
  <c r="S110" i="34"/>
  <c r="S114" i="34" s="1"/>
  <c r="S150" i="34" s="1"/>
  <c r="P110" i="34"/>
  <c r="P118" i="34" s="1"/>
  <c r="K110" i="34"/>
  <c r="K114" i="34" s="1"/>
  <c r="K150" i="34" s="1"/>
  <c r="N110" i="34"/>
  <c r="N118" i="34" s="1"/>
  <c r="Q110" i="34"/>
  <c r="Q118" i="34" s="1"/>
  <c r="O110" i="34"/>
  <c r="O114" i="34" s="1"/>
  <c r="O150" i="34" s="1"/>
  <c r="I110" i="34"/>
  <c r="I114" i="34" s="1"/>
  <c r="I150" i="34" s="1"/>
  <c r="M110" i="34"/>
  <c r="M118" i="34" s="1"/>
  <c r="J110" i="34"/>
  <c r="J118" i="34" s="1"/>
  <c r="W110" i="34"/>
  <c r="W118" i="34" s="1"/>
  <c r="R110" i="34"/>
  <c r="R114" i="34" s="1"/>
  <c r="R150" i="34" s="1"/>
  <c r="V110" i="34"/>
  <c r="V114" i="34" s="1"/>
  <c r="V150" i="34" s="1"/>
  <c r="H110" i="34"/>
  <c r="H118" i="34" s="1"/>
  <c r="X110" i="34"/>
  <c r="X114" i="34" s="1"/>
  <c r="X150" i="34" s="1"/>
  <c r="D110" i="34"/>
  <c r="AP117" i="34"/>
  <c r="AP113" i="34"/>
  <c r="AF118" i="34" l="1"/>
  <c r="AG132" i="34"/>
  <c r="AG135" i="34" s="1"/>
  <c r="AG136" i="34" s="1"/>
  <c r="D132" i="34"/>
  <c r="F7" i="86"/>
  <c r="B1196" i="5"/>
  <c r="C6" i="34" s="1"/>
  <c r="C7" i="34" s="1"/>
  <c r="E9" i="86" s="1"/>
  <c r="E32" i="86" s="1"/>
  <c r="AI114" i="34"/>
  <c r="AI150" i="34" s="1"/>
  <c r="AE118" i="34"/>
  <c r="AD114" i="34"/>
  <c r="AD150" i="34" s="1"/>
  <c r="AH118" i="34"/>
  <c r="AJ118" i="34"/>
  <c r="AY117" i="34"/>
  <c r="AV114" i="34"/>
  <c r="AV150" i="34" s="1"/>
  <c r="AN114" i="34"/>
  <c r="AN150" i="34" s="1"/>
  <c r="AT114" i="34"/>
  <c r="AT150" i="34" s="1"/>
  <c r="E114" i="34"/>
  <c r="E150" i="34" s="1"/>
  <c r="AZ118" i="34"/>
  <c r="AK132" i="34"/>
  <c r="AK139" i="34" s="1"/>
  <c r="AK140" i="34" s="1"/>
  <c r="AS118" i="34"/>
  <c r="BA118" i="34"/>
  <c r="AG118" i="34"/>
  <c r="AR114" i="34"/>
  <c r="AR150" i="34" s="1"/>
  <c r="AF132" i="34"/>
  <c r="AF135" i="34" s="1"/>
  <c r="AF136" i="34" s="1"/>
  <c r="AH132" i="34"/>
  <c r="AH135" i="34" s="1"/>
  <c r="AH136" i="34" s="1"/>
  <c r="AM114" i="34"/>
  <c r="AM150" i="34" s="1"/>
  <c r="AJ132" i="34"/>
  <c r="AJ135" i="34" s="1"/>
  <c r="AJ136" i="34" s="1"/>
  <c r="AI132" i="34"/>
  <c r="AI135" i="34" s="1"/>
  <c r="AI136" i="34" s="1"/>
  <c r="AU118" i="34"/>
  <c r="BB114" i="34"/>
  <c r="BB150" i="34" s="1"/>
  <c r="AL113" i="34"/>
  <c r="AL121" i="34" s="1"/>
  <c r="AK114" i="34"/>
  <c r="AK150" i="34" s="1"/>
  <c r="AU113" i="34"/>
  <c r="AU154" i="34" s="1"/>
  <c r="AL114" i="34"/>
  <c r="AL150" i="34" s="1"/>
  <c r="BC118" i="34"/>
  <c r="AC113" i="34"/>
  <c r="AC154" i="34" s="1"/>
  <c r="BG117" i="34"/>
  <c r="AO114" i="34"/>
  <c r="AO150" i="34" s="1"/>
  <c r="AO118" i="34"/>
  <c r="AY118" i="34"/>
  <c r="AY114" i="34"/>
  <c r="AY150" i="34" s="1"/>
  <c r="AO117" i="34"/>
  <c r="AQ117" i="34"/>
  <c r="AW114" i="34"/>
  <c r="AW150" i="34" s="1"/>
  <c r="AW118" i="34"/>
  <c r="AP114" i="34"/>
  <c r="AP150" i="34" s="1"/>
  <c r="AP118" i="34"/>
  <c r="AI117" i="34"/>
  <c r="AX118" i="34"/>
  <c r="AX114" i="34"/>
  <c r="AX150" i="34" s="1"/>
  <c r="AQ114" i="34"/>
  <c r="AQ150" i="34" s="1"/>
  <c r="AQ118" i="34"/>
  <c r="AB132" i="34"/>
  <c r="AB139" i="34" s="1"/>
  <c r="AB140" i="34" s="1"/>
  <c r="AT132" i="34"/>
  <c r="AU132" i="34"/>
  <c r="AV132" i="34"/>
  <c r="AW132" i="34"/>
  <c r="AX132" i="34"/>
  <c r="AY132" i="34"/>
  <c r="AZ132" i="34"/>
  <c r="BA132" i="34"/>
  <c r="BB132" i="34"/>
  <c r="BC132" i="34"/>
  <c r="AE132" i="34"/>
  <c r="AE139" i="34" s="1"/>
  <c r="AE140" i="34" s="1"/>
  <c r="AA117" i="34"/>
  <c r="AB117" i="34"/>
  <c r="CA113" i="34"/>
  <c r="CA154" i="34" s="1"/>
  <c r="CA155" i="34" s="1"/>
  <c r="CA157" i="34" s="1"/>
  <c r="CA158" i="34" s="1"/>
  <c r="E113" i="34"/>
  <c r="E154" i="34" s="1"/>
  <c r="AR117" i="34"/>
  <c r="AZ117" i="34"/>
  <c r="BL113" i="34"/>
  <c r="BL154" i="34" s="1"/>
  <c r="BL155" i="34" s="1"/>
  <c r="BL157" i="34" s="1"/>
  <c r="BL158" i="34" s="1"/>
  <c r="BR117" i="34"/>
  <c r="BB117" i="34"/>
  <c r="O113" i="34"/>
  <c r="O154" i="34" s="1"/>
  <c r="BN113" i="34"/>
  <c r="BN154" i="34" s="1"/>
  <c r="BN155" i="34" s="1"/>
  <c r="BN157" i="34" s="1"/>
  <c r="BN158" i="34" s="1"/>
  <c r="CQ113" i="34"/>
  <c r="CQ154" i="34" s="1"/>
  <c r="CQ155" i="34" s="1"/>
  <c r="CQ157" i="34" s="1"/>
  <c r="CQ158" i="34" s="1"/>
  <c r="AX113" i="34"/>
  <c r="AX121" i="34" s="1"/>
  <c r="J117" i="34"/>
  <c r="BA113" i="34"/>
  <c r="BA121" i="34" s="1"/>
  <c r="CO113" i="34"/>
  <c r="CO121" i="34" s="1"/>
  <c r="BD113" i="34"/>
  <c r="BD121" i="34" s="1"/>
  <c r="AS113" i="34"/>
  <c r="AS121" i="34" s="1"/>
  <c r="CI117" i="34"/>
  <c r="M117" i="34"/>
  <c r="CR117" i="34"/>
  <c r="N113" i="34"/>
  <c r="N154" i="34" s="1"/>
  <c r="AV113" i="34"/>
  <c r="AV154" i="34" s="1"/>
  <c r="BC117" i="34"/>
  <c r="CJ117" i="34"/>
  <c r="L117" i="34"/>
  <c r="BK113" i="34"/>
  <c r="BK154" i="34" s="1"/>
  <c r="BK155" i="34" s="1"/>
  <c r="BK157" i="34" s="1"/>
  <c r="BK158" i="34" s="1"/>
  <c r="T113" i="34"/>
  <c r="T154" i="34" s="1"/>
  <c r="BE113" i="34"/>
  <c r="BE121" i="34" s="1"/>
  <c r="AG113" i="34"/>
  <c r="AG121" i="34" s="1"/>
  <c r="BZ117" i="34"/>
  <c r="BO117" i="34"/>
  <c r="AE117" i="34"/>
  <c r="CM117" i="34"/>
  <c r="CP117" i="34"/>
  <c r="BP113" i="34"/>
  <c r="BP154" i="34" s="1"/>
  <c r="BP155" i="34" s="1"/>
  <c r="BP157" i="34" s="1"/>
  <c r="BP158" i="34" s="1"/>
  <c r="CH117" i="34"/>
  <c r="AD117" i="34"/>
  <c r="AN113" i="34"/>
  <c r="AN154" i="34" s="1"/>
  <c r="CX113" i="34"/>
  <c r="CX154" i="34" s="1"/>
  <c r="CX155" i="34" s="1"/>
  <c r="CX157" i="34" s="1"/>
  <c r="CX158" i="34" s="1"/>
  <c r="CW113" i="34"/>
  <c r="CW121" i="34" s="1"/>
  <c r="AM117" i="34"/>
  <c r="CT117" i="34"/>
  <c r="I113" i="34"/>
  <c r="I154" i="34" s="1"/>
  <c r="BQ117" i="34"/>
  <c r="AH113" i="34"/>
  <c r="AH121" i="34" s="1"/>
  <c r="BF117" i="34"/>
  <c r="AJ117" i="34"/>
  <c r="D117" i="34"/>
  <c r="CE117" i="34"/>
  <c r="CK113" i="34"/>
  <c r="CK121" i="34" s="1"/>
  <c r="Y113" i="34"/>
  <c r="Y154" i="34" s="1"/>
  <c r="BX117" i="34"/>
  <c r="BJ117" i="34"/>
  <c r="K117" i="34"/>
  <c r="CU113" i="34"/>
  <c r="CU154" i="34" s="1"/>
  <c r="CU155" i="34" s="1"/>
  <c r="CU157" i="34" s="1"/>
  <c r="CU158" i="34" s="1"/>
  <c r="BS113" i="34"/>
  <c r="BS121" i="34" s="1"/>
  <c r="R113" i="34"/>
  <c r="R121" i="34" s="1"/>
  <c r="AT113" i="34"/>
  <c r="AT121" i="34" s="1"/>
  <c r="V113" i="34"/>
  <c r="V154" i="34" s="1"/>
  <c r="W117" i="34"/>
  <c r="Z113" i="34"/>
  <c r="Z154" i="34" s="1"/>
  <c r="BT113" i="34"/>
  <c r="BT121" i="34" s="1"/>
  <c r="Q117" i="34"/>
  <c r="P113" i="34"/>
  <c r="P154" i="34" s="1"/>
  <c r="BY113" i="34"/>
  <c r="BY154" i="34" s="1"/>
  <c r="BY155" i="34" s="1"/>
  <c r="BY157" i="34" s="1"/>
  <c r="BY158" i="34" s="1"/>
  <c r="AK117" i="34"/>
  <c r="BM117" i="34"/>
  <c r="U117" i="34"/>
  <c r="CC117" i="34"/>
  <c r="AF113" i="34"/>
  <c r="AF154" i="34" s="1"/>
  <c r="CS117" i="34"/>
  <c r="BV117" i="34"/>
  <c r="CD113" i="34"/>
  <c r="CD154" i="34" s="1"/>
  <c r="CD155" i="34" s="1"/>
  <c r="CD157" i="34" s="1"/>
  <c r="CD158" i="34" s="1"/>
  <c r="CN117" i="34"/>
  <c r="BW117" i="34"/>
  <c r="F117" i="34"/>
  <c r="AW117" i="34"/>
  <c r="BU117" i="34"/>
  <c r="BI117" i="34"/>
  <c r="S117" i="34"/>
  <c r="X113" i="34"/>
  <c r="X154" i="34" s="1"/>
  <c r="CB113" i="34"/>
  <c r="CB154" i="34" s="1"/>
  <c r="CB155" i="34" s="1"/>
  <c r="CB157" i="34" s="1"/>
  <c r="CB158" i="34" s="1"/>
  <c r="CV117" i="34"/>
  <c r="CG117" i="34"/>
  <c r="CL113" i="34"/>
  <c r="CL154" i="34" s="1"/>
  <c r="CL155" i="34" s="1"/>
  <c r="CL157" i="34" s="1"/>
  <c r="CL158" i="34" s="1"/>
  <c r="G117" i="34"/>
  <c r="CF113" i="34"/>
  <c r="CF121" i="34" s="1"/>
  <c r="BH117" i="34"/>
  <c r="AB118" i="34"/>
  <c r="Z118" i="34"/>
  <c r="AC118" i="34"/>
  <c r="AD132" i="34"/>
  <c r="AD139" i="34" s="1"/>
  <c r="AD140" i="34" s="1"/>
  <c r="AA132" i="34"/>
  <c r="AA139" i="34" s="1"/>
  <c r="AA140" i="34" s="1"/>
  <c r="Z132" i="34"/>
  <c r="Z135" i="34" s="1"/>
  <c r="Z136" i="34" s="1"/>
  <c r="AC132" i="34"/>
  <c r="AC139" i="34" s="1"/>
  <c r="AC140" i="34" s="1"/>
  <c r="P132" i="34"/>
  <c r="P135" i="34" s="1"/>
  <c r="P136" i="34" s="1"/>
  <c r="AL132" i="34"/>
  <c r="AM132" i="34"/>
  <c r="AN132" i="34"/>
  <c r="AO132" i="34"/>
  <c r="AP132" i="34"/>
  <c r="AQ132" i="34"/>
  <c r="AR132" i="34"/>
  <c r="AS132" i="34"/>
  <c r="W132" i="34"/>
  <c r="W139" i="34" s="1"/>
  <c r="W140" i="34" s="1"/>
  <c r="E132" i="34"/>
  <c r="I132" i="34"/>
  <c r="I135" i="34" s="1"/>
  <c r="I136" i="34" s="1"/>
  <c r="Y132" i="34"/>
  <c r="Y139" i="34" s="1"/>
  <c r="Y140" i="34" s="1"/>
  <c r="Q132" i="34"/>
  <c r="Q135" i="34" s="1"/>
  <c r="Q136" i="34" s="1"/>
  <c r="M132" i="34"/>
  <c r="M135" i="34" s="1"/>
  <c r="M136" i="34" s="1"/>
  <c r="O132" i="34"/>
  <c r="O135" i="34" s="1"/>
  <c r="O136" i="34" s="1"/>
  <c r="L132" i="34"/>
  <c r="L139" i="34" s="1"/>
  <c r="L140" i="34" s="1"/>
  <c r="S132" i="34"/>
  <c r="S139" i="34" s="1"/>
  <c r="S140" i="34" s="1"/>
  <c r="G132" i="34"/>
  <c r="G135" i="34" s="1"/>
  <c r="G136" i="34" s="1"/>
  <c r="H132" i="34"/>
  <c r="H139" i="34" s="1"/>
  <c r="H140" i="34" s="1"/>
  <c r="R132" i="34"/>
  <c r="R139" i="34" s="1"/>
  <c r="R140" i="34" s="1"/>
  <c r="F132" i="34"/>
  <c r="F139" i="34" s="1"/>
  <c r="F140" i="34" s="1"/>
  <c r="U132" i="34"/>
  <c r="U135" i="34" s="1"/>
  <c r="U136" i="34" s="1"/>
  <c r="T132" i="34"/>
  <c r="T135" i="34" s="1"/>
  <c r="T136" i="34" s="1"/>
  <c r="V132" i="34"/>
  <c r="V139" i="34" s="1"/>
  <c r="V140" i="34" s="1"/>
  <c r="K132" i="34"/>
  <c r="K139" i="34" s="1"/>
  <c r="K140" i="34" s="1"/>
  <c r="X132" i="34"/>
  <c r="X135" i="34" s="1"/>
  <c r="X136" i="34" s="1"/>
  <c r="N132" i="34"/>
  <c r="N135" i="34" s="1"/>
  <c r="N136" i="34" s="1"/>
  <c r="J132" i="34"/>
  <c r="J139" i="34" s="1"/>
  <c r="J140" i="34" s="1"/>
  <c r="E24" i="86"/>
  <c r="F24" i="86" s="1"/>
  <c r="E20" i="86"/>
  <c r="F20" i="86" s="1"/>
  <c r="E25" i="86"/>
  <c r="F25" i="86" s="1"/>
  <c r="E26" i="86"/>
  <c r="F26" i="86" s="1"/>
  <c r="E22" i="86"/>
  <c r="F22" i="86" s="1"/>
  <c r="E23" i="86"/>
  <c r="F23" i="86" s="1"/>
  <c r="E13" i="86"/>
  <c r="E18" i="86"/>
  <c r="F18" i="86" s="1"/>
  <c r="E29" i="86"/>
  <c r="F29" i="86" s="1"/>
  <c r="E17" i="86"/>
  <c r="F17" i="86" s="1"/>
  <c r="E15" i="86"/>
  <c r="F15" i="86" s="1"/>
  <c r="E16" i="86"/>
  <c r="F16" i="86" s="1"/>
  <c r="E14" i="86"/>
  <c r="F14" i="86" s="1"/>
  <c r="E30" i="86"/>
  <c r="F30" i="86" s="1"/>
  <c r="E19" i="86"/>
  <c r="F19" i="86" s="1"/>
  <c r="E27" i="86"/>
  <c r="F27" i="86" s="1"/>
  <c r="E28" i="86"/>
  <c r="F28" i="86" s="1"/>
  <c r="Y118" i="34"/>
  <c r="AA114" i="34"/>
  <c r="AA150" i="34" s="1"/>
  <c r="C113" i="34"/>
  <c r="C117" i="34"/>
  <c r="L118" i="34"/>
  <c r="F118" i="34"/>
  <c r="T118" i="34"/>
  <c r="N114" i="34"/>
  <c r="N150" i="34" s="1"/>
  <c r="I118" i="34"/>
  <c r="V118" i="34"/>
  <c r="U118" i="34"/>
  <c r="H117" i="34"/>
  <c r="A109" i="34"/>
  <c r="M114" i="34"/>
  <c r="M150" i="34" s="1"/>
  <c r="A96" i="34"/>
  <c r="J114" i="34"/>
  <c r="J150" i="34" s="1"/>
  <c r="S118" i="34"/>
  <c r="R118" i="34"/>
  <c r="K118" i="34"/>
  <c r="P114" i="34"/>
  <c r="P150" i="34" s="1"/>
  <c r="W114" i="34"/>
  <c r="W150" i="34" s="1"/>
  <c r="O118" i="34"/>
  <c r="G118" i="34"/>
  <c r="X118" i="34"/>
  <c r="A104" i="34"/>
  <c r="H114" i="34"/>
  <c r="H150" i="34" s="1"/>
  <c r="Q114" i="34"/>
  <c r="Q150" i="34" s="1"/>
  <c r="CJ121" i="34"/>
  <c r="CJ154" i="34"/>
  <c r="CJ155" i="34" s="1"/>
  <c r="CJ157" i="34" s="1"/>
  <c r="CJ158" i="34" s="1"/>
  <c r="W154" i="34"/>
  <c r="W121" i="34"/>
  <c r="BF154" i="34"/>
  <c r="BF155" i="34" s="1"/>
  <c r="BF157" i="34" s="1"/>
  <c r="BF158" i="34" s="1"/>
  <c r="BF121" i="34"/>
  <c r="CS121" i="34"/>
  <c r="CS154" i="34"/>
  <c r="CS155" i="34" s="1"/>
  <c r="CS157" i="34" s="1"/>
  <c r="CS158" i="34" s="1"/>
  <c r="Q121" i="34"/>
  <c r="Q154" i="34"/>
  <c r="D114" i="34"/>
  <c r="A110" i="34"/>
  <c r="D118" i="34"/>
  <c r="BQ121" i="34"/>
  <c r="BQ154" i="34"/>
  <c r="BQ155" i="34" s="1"/>
  <c r="BQ157" i="34" s="1"/>
  <c r="BQ158" i="34" s="1"/>
  <c r="AY154" i="34"/>
  <c r="AY121" i="34"/>
  <c r="BG154" i="34"/>
  <c r="BG155" i="34" s="1"/>
  <c r="BG157" i="34" s="1"/>
  <c r="BG158" i="34" s="1"/>
  <c r="BG121" i="34"/>
  <c r="AP154" i="34"/>
  <c r="AP121" i="34"/>
  <c r="J121" i="34"/>
  <c r="J122" i="34" s="1"/>
  <c r="J154" i="34"/>
  <c r="BI121" i="34"/>
  <c r="BI154" i="34"/>
  <c r="BI155" i="34" s="1"/>
  <c r="BI157" i="34" s="1"/>
  <c r="BI158" i="34" s="1"/>
  <c r="CV121" i="34"/>
  <c r="CV154" i="34"/>
  <c r="CV155" i="34" s="1"/>
  <c r="CV157" i="34" s="1"/>
  <c r="CV158" i="34" s="1"/>
  <c r="CG154" i="34"/>
  <c r="CG155" i="34" s="1"/>
  <c r="CG157" i="34" s="1"/>
  <c r="CG158" i="34" s="1"/>
  <c r="CG121" i="34"/>
  <c r="AJ154" i="34"/>
  <c r="AJ121" i="34"/>
  <c r="CE121" i="34"/>
  <c r="CE154" i="34"/>
  <c r="CE155" i="34" s="1"/>
  <c r="CE157" i="34" s="1"/>
  <c r="CE158" i="34" s="1"/>
  <c r="AB154" i="34"/>
  <c r="AB121" i="34"/>
  <c r="BR121" i="34"/>
  <c r="BR154" i="34"/>
  <c r="BR155" i="34" s="1"/>
  <c r="BR157" i="34" s="1"/>
  <c r="BR158" i="34" s="1"/>
  <c r="AQ154" i="34"/>
  <c r="AQ121" i="34"/>
  <c r="AW154" i="34"/>
  <c r="AW121" i="34"/>
  <c r="AK154" i="34"/>
  <c r="AK121" i="34"/>
  <c r="BU121" i="34"/>
  <c r="BU154" i="34"/>
  <c r="BU155" i="34" s="1"/>
  <c r="BU157" i="34" s="1"/>
  <c r="BU158" i="34" s="1"/>
  <c r="AZ154" i="34"/>
  <c r="AZ121" i="34"/>
  <c r="S121" i="34"/>
  <c r="S154" i="34"/>
  <c r="BW121" i="34"/>
  <c r="BW154" i="34"/>
  <c r="BW155" i="34" s="1"/>
  <c r="BW157" i="34" s="1"/>
  <c r="BW158" i="34" s="1"/>
  <c r="BO121" i="34"/>
  <c r="BO154" i="34"/>
  <c r="BO155" i="34" s="1"/>
  <c r="BO157" i="34" s="1"/>
  <c r="BO158" i="34" s="1"/>
  <c r="BX154" i="34"/>
  <c r="BX155" i="34" s="1"/>
  <c r="BX157" i="34" s="1"/>
  <c r="BX158" i="34" s="1"/>
  <c r="BX121" i="34"/>
  <c r="BB121" i="34"/>
  <c r="BB154" i="34"/>
  <c r="BJ154" i="34"/>
  <c r="BJ155" i="34" s="1"/>
  <c r="BJ157" i="34" s="1"/>
  <c r="BJ158" i="34" s="1"/>
  <c r="BJ121" i="34"/>
  <c r="CT154" i="34"/>
  <c r="CT155" i="34" s="1"/>
  <c r="CT157" i="34" s="1"/>
  <c r="CT158" i="34" s="1"/>
  <c r="CT121" i="34"/>
  <c r="H121" i="34"/>
  <c r="H122" i="34" s="1"/>
  <c r="H154" i="34"/>
  <c r="BZ154" i="34"/>
  <c r="BZ155" i="34" s="1"/>
  <c r="BZ157" i="34" s="1"/>
  <c r="BZ158" i="34" s="1"/>
  <c r="BZ121" i="34"/>
  <c r="D121" i="34"/>
  <c r="D122" i="34" s="1"/>
  <c r="D154" i="34"/>
  <c r="CI154" i="34"/>
  <c r="CI155" i="34" s="1"/>
  <c r="CI157" i="34" s="1"/>
  <c r="CI158" i="34" s="1"/>
  <c r="CI121" i="34"/>
  <c r="CH154" i="34"/>
  <c r="CH155" i="34" s="1"/>
  <c r="CH157" i="34" s="1"/>
  <c r="CH158" i="34" s="1"/>
  <c r="CH121" i="34"/>
  <c r="CM121" i="34"/>
  <c r="CM154" i="34"/>
  <c r="CM155" i="34" s="1"/>
  <c r="CM157" i="34" s="1"/>
  <c r="CM158" i="34" s="1"/>
  <c r="AM121" i="34"/>
  <c r="AM154" i="34"/>
  <c r="BC154" i="34"/>
  <c r="BC121" i="34"/>
  <c r="AO121" i="34"/>
  <c r="AO154" i="34"/>
  <c r="CR154" i="34"/>
  <c r="CR155" i="34" s="1"/>
  <c r="CR157" i="34" s="1"/>
  <c r="CR158" i="34" s="1"/>
  <c r="CR121" i="34"/>
  <c r="CP121" i="34"/>
  <c r="CP154" i="34"/>
  <c r="CP155" i="34" s="1"/>
  <c r="CP157" i="34" s="1"/>
  <c r="CP158" i="34" s="1"/>
  <c r="BV154" i="34"/>
  <c r="BV155" i="34" s="1"/>
  <c r="BV157" i="34" s="1"/>
  <c r="BV158" i="34" s="1"/>
  <c r="BV121" i="34"/>
  <c r="BM121" i="34"/>
  <c r="BM154" i="34"/>
  <c r="BM155" i="34" s="1"/>
  <c r="BM157" i="34" s="1"/>
  <c r="BM158" i="34" s="1"/>
  <c r="F154" i="34"/>
  <c r="F121" i="34"/>
  <c r="F122" i="34" s="1"/>
  <c r="G154" i="34"/>
  <c r="G121" i="34"/>
  <c r="G122" i="34" s="1"/>
  <c r="CN154" i="34"/>
  <c r="CN155" i="34" s="1"/>
  <c r="CN157" i="34" s="1"/>
  <c r="CN158" i="34" s="1"/>
  <c r="CN121" i="34"/>
  <c r="M154" i="34"/>
  <c r="M121" i="34"/>
  <c r="CC154" i="34"/>
  <c r="CC155" i="34" s="1"/>
  <c r="CC157" i="34" s="1"/>
  <c r="CC158" i="34" s="1"/>
  <c r="CC121" i="34"/>
  <c r="AD154" i="34"/>
  <c r="AD121" i="34"/>
  <c r="AR121" i="34"/>
  <c r="AR154" i="34"/>
  <c r="L154" i="34"/>
  <c r="L121" i="34"/>
  <c r="L122" i="34" s="1"/>
  <c r="AE154" i="34"/>
  <c r="AE121" i="34"/>
  <c r="AA154" i="34"/>
  <c r="AA121" i="34"/>
  <c r="AI154" i="34"/>
  <c r="AI121" i="34"/>
  <c r="U154" i="34"/>
  <c r="U121" i="34"/>
  <c r="BH121" i="34"/>
  <c r="BH154" i="34"/>
  <c r="BH155" i="34" s="1"/>
  <c r="BH157" i="34" s="1"/>
  <c r="BH158" i="34" s="1"/>
  <c r="K154" i="34"/>
  <c r="K121" i="34"/>
  <c r="K122" i="34" s="1"/>
  <c r="AG139" i="34" l="1"/>
  <c r="AG140" i="34" s="1"/>
  <c r="AG143" i="34" s="1"/>
  <c r="F13" i="86"/>
  <c r="F21" i="86" s="1"/>
  <c r="F31" i="86" s="1"/>
  <c r="E21" i="86"/>
  <c r="E31" i="86" s="1"/>
  <c r="E34" i="86" s="1"/>
  <c r="D139" i="34"/>
  <c r="D140" i="34" s="1"/>
  <c r="D135" i="34"/>
  <c r="D136" i="34" s="1"/>
  <c r="AI139" i="34"/>
  <c r="AI140" i="34" s="1"/>
  <c r="AI149" i="34" s="1"/>
  <c r="F32" i="86"/>
  <c r="F9" i="86"/>
  <c r="AK135" i="34"/>
  <c r="AK136" i="34" s="1"/>
  <c r="AU121" i="34"/>
  <c r="AH139" i="34"/>
  <c r="AH140" i="34" s="1"/>
  <c r="AH143" i="34" s="1"/>
  <c r="AE135" i="34"/>
  <c r="AE136" i="34" s="1"/>
  <c r="AF139" i="34"/>
  <c r="AF140" i="34" s="1"/>
  <c r="AF149" i="34" s="1"/>
  <c r="AJ139" i="34"/>
  <c r="AJ140" i="34" s="1"/>
  <c r="AJ143" i="34" s="1"/>
  <c r="AL154" i="34"/>
  <c r="AC121" i="34"/>
  <c r="CA121" i="34"/>
  <c r="AB135" i="34"/>
  <c r="AB136" i="34" s="1"/>
  <c r="AZ139" i="34"/>
  <c r="AZ140" i="34" s="1"/>
  <c r="AZ135" i="34"/>
  <c r="AZ136" i="34" s="1"/>
  <c r="AY139" i="34"/>
  <c r="AY140" i="34" s="1"/>
  <c r="AY135" i="34"/>
  <c r="AY136" i="34" s="1"/>
  <c r="AX135" i="34"/>
  <c r="AX136" i="34" s="1"/>
  <c r="AX139" i="34"/>
  <c r="AX140" i="34" s="1"/>
  <c r="AW139" i="34"/>
  <c r="AW140" i="34" s="1"/>
  <c r="AW135" i="34"/>
  <c r="AW136" i="34" s="1"/>
  <c r="AV135" i="34"/>
  <c r="AV136" i="34" s="1"/>
  <c r="AV139" i="34"/>
  <c r="AV140" i="34" s="1"/>
  <c r="BC139" i="34"/>
  <c r="BC140" i="34" s="1"/>
  <c r="BC135" i="34"/>
  <c r="BC136" i="34" s="1"/>
  <c r="AU139" i="34"/>
  <c r="AU140" i="34" s="1"/>
  <c r="AU135" i="34"/>
  <c r="AU136" i="34" s="1"/>
  <c r="E121" i="34"/>
  <c r="E122" i="34" s="1"/>
  <c r="BB139" i="34"/>
  <c r="BB140" i="34" s="1"/>
  <c r="BB135" i="34"/>
  <c r="BB136" i="34" s="1"/>
  <c r="AT135" i="34"/>
  <c r="AT136" i="34" s="1"/>
  <c r="AT139" i="34"/>
  <c r="AT140" i="34" s="1"/>
  <c r="BA139" i="34"/>
  <c r="BA140" i="34" s="1"/>
  <c r="BA135" i="34"/>
  <c r="BA136" i="34" s="1"/>
  <c r="CQ121" i="34"/>
  <c r="BD154" i="34"/>
  <c r="BD155" i="34" s="1"/>
  <c r="BD157" i="34" s="1"/>
  <c r="BD158" i="34" s="1"/>
  <c r="CW154" i="34"/>
  <c r="CW155" i="34" s="1"/>
  <c r="CW157" i="34" s="1"/>
  <c r="CW158" i="34" s="1"/>
  <c r="BL121" i="34"/>
  <c r="O121" i="34"/>
  <c r="BN121" i="34"/>
  <c r="AG154" i="34"/>
  <c r="N121" i="34"/>
  <c r="AX154" i="34"/>
  <c r="BA154" i="34"/>
  <c r="AH154" i="34"/>
  <c r="AS154" i="34"/>
  <c r="CO154" i="34"/>
  <c r="CO155" i="34" s="1"/>
  <c r="CO157" i="34" s="1"/>
  <c r="CO158" i="34" s="1"/>
  <c r="T121" i="34"/>
  <c r="BE154" i="34"/>
  <c r="BE155" i="34" s="1"/>
  <c r="BE157" i="34" s="1"/>
  <c r="BE158" i="34" s="1"/>
  <c r="AV121" i="34"/>
  <c r="BK121" i="34"/>
  <c r="BS154" i="34"/>
  <c r="BS155" i="34" s="1"/>
  <c r="BS157" i="34" s="1"/>
  <c r="BS158" i="34" s="1"/>
  <c r="CD121" i="34"/>
  <c r="X121" i="34"/>
  <c r="R154" i="34"/>
  <c r="CX121" i="34"/>
  <c r="CU121" i="34"/>
  <c r="AN121" i="34"/>
  <c r="BY121" i="34"/>
  <c r="AT154" i="34"/>
  <c r="CK154" i="34"/>
  <c r="CK155" i="34" s="1"/>
  <c r="CK157" i="34" s="1"/>
  <c r="CK158" i="34" s="1"/>
  <c r="BP121" i="34"/>
  <c r="V121" i="34"/>
  <c r="I121" i="34"/>
  <c r="I122" i="34" s="1"/>
  <c r="Y121" i="34"/>
  <c r="BT154" i="34"/>
  <c r="BT155" i="34" s="1"/>
  <c r="BT157" i="34" s="1"/>
  <c r="BT158" i="34" s="1"/>
  <c r="Z121" i="34"/>
  <c r="CF154" i="34"/>
  <c r="CF155" i="34" s="1"/>
  <c r="CF157" i="34" s="1"/>
  <c r="CF158" i="34" s="1"/>
  <c r="P121" i="34"/>
  <c r="CL121" i="34"/>
  <c r="AF121" i="34"/>
  <c r="CB121" i="34"/>
  <c r="A113" i="34"/>
  <c r="AA135" i="34"/>
  <c r="AA136" i="34" s="1"/>
  <c r="AD135" i="34"/>
  <c r="AD136" i="34" s="1"/>
  <c r="Z139" i="34"/>
  <c r="Z140" i="34" s="1"/>
  <c r="Z143" i="34" s="1"/>
  <c r="AC135" i="34"/>
  <c r="AC136" i="34" s="1"/>
  <c r="P139" i="34"/>
  <c r="P140" i="34" s="1"/>
  <c r="P149" i="34" s="1"/>
  <c r="AQ139" i="34"/>
  <c r="AQ140" i="34" s="1"/>
  <c r="AQ135" i="34"/>
  <c r="AQ136" i="34" s="1"/>
  <c r="AP135" i="34"/>
  <c r="AP136" i="34" s="1"/>
  <c r="AP139" i="34"/>
  <c r="AP140" i="34" s="1"/>
  <c r="AR139" i="34"/>
  <c r="AR140" i="34" s="1"/>
  <c r="AR135" i="34"/>
  <c r="AR136" i="34" s="1"/>
  <c r="AO139" i="34"/>
  <c r="AO140" i="34" s="1"/>
  <c r="AO135" i="34"/>
  <c r="AO136" i="34" s="1"/>
  <c r="AN139" i="34"/>
  <c r="AN140" i="34" s="1"/>
  <c r="AN135" i="34"/>
  <c r="AN136" i="34" s="1"/>
  <c r="AM135" i="34"/>
  <c r="AM136" i="34" s="1"/>
  <c r="AM139" i="34"/>
  <c r="AM140" i="34" s="1"/>
  <c r="AL139" i="34"/>
  <c r="AL140" i="34" s="1"/>
  <c r="AL135" i="34"/>
  <c r="AL136" i="34" s="1"/>
  <c r="AS139" i="34"/>
  <c r="AS140" i="34" s="1"/>
  <c r="AS135" i="34"/>
  <c r="AS136" i="34" s="1"/>
  <c r="Q139" i="34"/>
  <c r="Q140" i="34" s="1"/>
  <c r="Q149" i="34" s="1"/>
  <c r="W135" i="34"/>
  <c r="W136" i="34" s="1"/>
  <c r="K135" i="34"/>
  <c r="K136" i="34" s="1"/>
  <c r="Y135" i="34"/>
  <c r="Y136" i="34" s="1"/>
  <c r="O139" i="34"/>
  <c r="O140" i="34" s="1"/>
  <c r="O149" i="34" s="1"/>
  <c r="M139" i="34"/>
  <c r="M140" i="34" s="1"/>
  <c r="M143" i="34" s="1"/>
  <c r="E139" i="34"/>
  <c r="E140" i="34" s="1"/>
  <c r="E135" i="34"/>
  <c r="E136" i="34" s="1"/>
  <c r="I139" i="34"/>
  <c r="I140" i="34" s="1"/>
  <c r="I149" i="34" s="1"/>
  <c r="S135" i="34"/>
  <c r="S136" i="34" s="1"/>
  <c r="X139" i="34"/>
  <c r="X140" i="34" s="1"/>
  <c r="X143" i="34" s="1"/>
  <c r="G139" i="34"/>
  <c r="G140" i="34" s="1"/>
  <c r="G149" i="34" s="1"/>
  <c r="L135" i="34"/>
  <c r="L136" i="34" s="1"/>
  <c r="V135" i="34"/>
  <c r="V136" i="34" s="1"/>
  <c r="R135" i="34"/>
  <c r="R136" i="34" s="1"/>
  <c r="H135" i="34"/>
  <c r="H136" i="34" s="1"/>
  <c r="J135" i="34"/>
  <c r="J136" i="34" s="1"/>
  <c r="N139" i="34"/>
  <c r="N140" i="34" s="1"/>
  <c r="N149" i="34" s="1"/>
  <c r="U139" i="34"/>
  <c r="U140" i="34" s="1"/>
  <c r="U149" i="34" s="1"/>
  <c r="A132" i="34"/>
  <c r="F135" i="34"/>
  <c r="F136" i="34" s="1"/>
  <c r="T139" i="34"/>
  <c r="T140" i="34" s="1"/>
  <c r="F149" i="34"/>
  <c r="F143" i="34"/>
  <c r="AK149" i="34"/>
  <c r="AK143" i="34"/>
  <c r="AB149" i="34"/>
  <c r="AB143" i="34"/>
  <c r="AE149" i="34"/>
  <c r="AE143" i="34"/>
  <c r="AD149" i="34"/>
  <c r="AD143" i="34"/>
  <c r="AC149" i="34"/>
  <c r="AC143" i="34"/>
  <c r="A117" i="34"/>
  <c r="S149" i="34"/>
  <c r="S143" i="34"/>
  <c r="L149" i="34"/>
  <c r="L143" i="34"/>
  <c r="R149" i="34"/>
  <c r="R143" i="34"/>
  <c r="AA149" i="34"/>
  <c r="AA143" i="34"/>
  <c r="H149" i="34"/>
  <c r="H143" i="34"/>
  <c r="K149" i="34"/>
  <c r="K143" i="34"/>
  <c r="W149" i="34"/>
  <c r="W143" i="34"/>
  <c r="V149" i="34"/>
  <c r="V143" i="34"/>
  <c r="J149" i="34"/>
  <c r="J143" i="34"/>
  <c r="Y143" i="34"/>
  <c r="Y149" i="34"/>
  <c r="C121" i="34"/>
  <c r="C122" i="34" s="1"/>
  <c r="C154" i="34"/>
  <c r="A118" i="34"/>
  <c r="A114" i="34"/>
  <c r="D150" i="34"/>
  <c r="F33" i="86" l="1"/>
  <c r="F34" i="86" s="1"/>
  <c r="AG149" i="34"/>
  <c r="D143" i="34"/>
  <c r="D149" i="34"/>
  <c r="AI143" i="34"/>
  <c r="AH149" i="34"/>
  <c r="AF143" i="34"/>
  <c r="AJ149" i="34"/>
  <c r="A122" i="34"/>
  <c r="Y124" i="34" s="1"/>
  <c r="Y151" i="34" s="1"/>
  <c r="Y152" i="34" s="1"/>
  <c r="Y153" i="34" s="1"/>
  <c r="Y155" i="34" s="1"/>
  <c r="Y157" i="34" s="1"/>
  <c r="Y158" i="34" s="1"/>
  <c r="AT149" i="34"/>
  <c r="AT152" i="34" s="1"/>
  <c r="AT153" i="34" s="1"/>
  <c r="AT143" i="34"/>
  <c r="BC149" i="34"/>
  <c r="BC143" i="34"/>
  <c r="AX149" i="34"/>
  <c r="AX152" i="34" s="1"/>
  <c r="AX153" i="34" s="1"/>
  <c r="AX143" i="34"/>
  <c r="AU149" i="34"/>
  <c r="AU143" i="34"/>
  <c r="BA149" i="34"/>
  <c r="BA152" i="34" s="1"/>
  <c r="BA153" i="34" s="1"/>
  <c r="BA143" i="34"/>
  <c r="BB149" i="34"/>
  <c r="BB143" i="34"/>
  <c r="AV149" i="34"/>
  <c r="AV143" i="34"/>
  <c r="AY149" i="34"/>
  <c r="AY143" i="34"/>
  <c r="AW149" i="34"/>
  <c r="AW143" i="34"/>
  <c r="AZ149" i="34"/>
  <c r="AZ143" i="34"/>
  <c r="A154" i="34"/>
  <c r="Z149" i="34"/>
  <c r="P143" i="34"/>
  <c r="AS149" i="34"/>
  <c r="AS143" i="34"/>
  <c r="AR149" i="34"/>
  <c r="AR143" i="34"/>
  <c r="AP149" i="34"/>
  <c r="AP143" i="34"/>
  <c r="AN149" i="34"/>
  <c r="AN143" i="34"/>
  <c r="AL149" i="34"/>
  <c r="AL143" i="34"/>
  <c r="AO149" i="34"/>
  <c r="AO143" i="34"/>
  <c r="AQ149" i="34"/>
  <c r="AQ143" i="34"/>
  <c r="AM149" i="34"/>
  <c r="AM143" i="34"/>
  <c r="Q143" i="34"/>
  <c r="M149" i="34"/>
  <c r="O143" i="34"/>
  <c r="I143" i="34"/>
  <c r="E143" i="34"/>
  <c r="E149" i="34"/>
  <c r="G143" i="34"/>
  <c r="X149" i="34"/>
  <c r="A136" i="34"/>
  <c r="U143" i="34"/>
  <c r="N143" i="34"/>
  <c r="A140" i="34"/>
  <c r="T149" i="34"/>
  <c r="T143" i="34"/>
  <c r="Z124" i="34"/>
  <c r="Z151" i="34" s="1"/>
  <c r="X124" i="34"/>
  <c r="X151" i="34" s="1"/>
  <c r="A121" i="34"/>
  <c r="A150" i="34"/>
  <c r="R124" i="34" l="1"/>
  <c r="R151" i="34" s="1"/>
  <c r="R152" i="34" s="1"/>
  <c r="R153" i="34" s="1"/>
  <c r="R155" i="34" s="1"/>
  <c r="R157" i="34" s="1"/>
  <c r="R158" i="34" s="1"/>
  <c r="Q124" i="34"/>
  <c r="Q151" i="34" s="1"/>
  <c r="Q152" i="34" s="1"/>
  <c r="Q153" i="34" s="1"/>
  <c r="Q155" i="34" s="1"/>
  <c r="Q157" i="34" s="1"/>
  <c r="Q158" i="34" s="1"/>
  <c r="G124" i="34"/>
  <c r="G151" i="34" s="1"/>
  <c r="G152" i="34" s="1"/>
  <c r="G153" i="34" s="1"/>
  <c r="G155" i="34" s="1"/>
  <c r="G157" i="34" s="1"/>
  <c r="G158" i="34" s="1"/>
  <c r="AE124" i="34"/>
  <c r="AE151" i="34" s="1"/>
  <c r="AE152" i="34" s="1"/>
  <c r="AE153" i="34" s="1"/>
  <c r="AE155" i="34" s="1"/>
  <c r="AE157" i="34" s="1"/>
  <c r="AE158" i="34" s="1"/>
  <c r="AF124" i="34"/>
  <c r="AF151" i="34" s="1"/>
  <c r="AF152" i="34" s="1"/>
  <c r="AF153" i="34" s="1"/>
  <c r="AF155" i="34" s="1"/>
  <c r="AF157" i="34" s="1"/>
  <c r="AF158" i="34" s="1"/>
  <c r="AG124" i="34"/>
  <c r="AG151" i="34" s="1"/>
  <c r="AG152" i="34" s="1"/>
  <c r="AG153" i="34" s="1"/>
  <c r="AG155" i="34" s="1"/>
  <c r="AG157" i="34" s="1"/>
  <c r="AG158" i="34" s="1"/>
  <c r="AH124" i="34"/>
  <c r="AH151" i="34" s="1"/>
  <c r="AH152" i="34" s="1"/>
  <c r="AH153" i="34" s="1"/>
  <c r="AH155" i="34" s="1"/>
  <c r="AH157" i="34" s="1"/>
  <c r="AH158" i="34" s="1"/>
  <c r="AI124" i="34"/>
  <c r="AI151" i="34" s="1"/>
  <c r="AI152" i="34" s="1"/>
  <c r="AI153" i="34" s="1"/>
  <c r="AI155" i="34" s="1"/>
  <c r="AI157" i="34" s="1"/>
  <c r="AI158" i="34" s="1"/>
  <c r="AJ124" i="34"/>
  <c r="AJ151" i="34" s="1"/>
  <c r="AJ152" i="34" s="1"/>
  <c r="AJ153" i="34" s="1"/>
  <c r="AJ155" i="34" s="1"/>
  <c r="AJ157" i="34" s="1"/>
  <c r="AJ158" i="34" s="1"/>
  <c r="AL124" i="34"/>
  <c r="AL151" i="34" s="1"/>
  <c r="AL152" i="34" s="1"/>
  <c r="AL153" i="34" s="1"/>
  <c r="AL155" i="34" s="1"/>
  <c r="AL157" i="34" s="1"/>
  <c r="AL158" i="34" s="1"/>
  <c r="AK124" i="34"/>
  <c r="AK151" i="34" s="1"/>
  <c r="AK152" i="34" s="1"/>
  <c r="AK153" i="34" s="1"/>
  <c r="AK155" i="34" s="1"/>
  <c r="AK157" i="34" s="1"/>
  <c r="AK158" i="34" s="1"/>
  <c r="AM124" i="34"/>
  <c r="AM151" i="34" s="1"/>
  <c r="AM152" i="34" s="1"/>
  <c r="AM153" i="34" s="1"/>
  <c r="AM155" i="34" s="1"/>
  <c r="AM157" i="34" s="1"/>
  <c r="AM158" i="34" s="1"/>
  <c r="AN124" i="34"/>
  <c r="AN151" i="34" s="1"/>
  <c r="AN152" i="34" s="1"/>
  <c r="AN153" i="34" s="1"/>
  <c r="AN155" i="34" s="1"/>
  <c r="AN157" i="34" s="1"/>
  <c r="AN158" i="34" s="1"/>
  <c r="AO124" i="34"/>
  <c r="AO151" i="34" s="1"/>
  <c r="AO152" i="34" s="1"/>
  <c r="AO153" i="34" s="1"/>
  <c r="AO155" i="34" s="1"/>
  <c r="AO157" i="34" s="1"/>
  <c r="AO158" i="34" s="1"/>
  <c r="AP124" i="34"/>
  <c r="AP151" i="34" s="1"/>
  <c r="AP152" i="34" s="1"/>
  <c r="AP153" i="34" s="1"/>
  <c r="AP155" i="34" s="1"/>
  <c r="AP157" i="34" s="1"/>
  <c r="AP158" i="34" s="1"/>
  <c r="AQ124" i="34"/>
  <c r="AQ151" i="34" s="1"/>
  <c r="AQ152" i="34" s="1"/>
  <c r="AQ153" i="34" s="1"/>
  <c r="AQ155" i="34" s="1"/>
  <c r="AQ157" i="34" s="1"/>
  <c r="AQ158" i="34" s="1"/>
  <c r="AC124" i="34"/>
  <c r="AC151" i="34" s="1"/>
  <c r="AC152" i="34" s="1"/>
  <c r="AC153" i="34" s="1"/>
  <c r="AC155" i="34" s="1"/>
  <c r="AC157" i="34" s="1"/>
  <c r="AC158" i="34" s="1"/>
  <c r="AD124" i="34"/>
  <c r="AD151" i="34" s="1"/>
  <c r="AD152" i="34" s="1"/>
  <c r="AD153" i="34" s="1"/>
  <c r="AD155" i="34" s="1"/>
  <c r="AD157" i="34" s="1"/>
  <c r="AD158" i="34" s="1"/>
  <c r="AB124" i="34"/>
  <c r="AB151" i="34" s="1"/>
  <c r="AB152" i="34" s="1"/>
  <c r="AB153" i="34" s="1"/>
  <c r="AB155" i="34" s="1"/>
  <c r="AB157" i="34" s="1"/>
  <c r="AB158" i="34" s="1"/>
  <c r="AA124" i="34"/>
  <c r="AA151" i="34" s="1"/>
  <c r="AA152" i="34" s="1"/>
  <c r="AA153" i="34" s="1"/>
  <c r="AA155" i="34" s="1"/>
  <c r="AA157" i="34" s="1"/>
  <c r="AA158" i="34" s="1"/>
  <c r="S124" i="34"/>
  <c r="S151" i="34" s="1"/>
  <c r="S152" i="34" s="1"/>
  <c r="S153" i="34" s="1"/>
  <c r="S155" i="34" s="1"/>
  <c r="S157" i="34" s="1"/>
  <c r="S158" i="34" s="1"/>
  <c r="T124" i="34"/>
  <c r="T151" i="34" s="1"/>
  <c r="T152" i="34" s="1"/>
  <c r="T153" i="34" s="1"/>
  <c r="T155" i="34" s="1"/>
  <c r="T157" i="34" s="1"/>
  <c r="T158" i="34" s="1"/>
  <c r="U124" i="34"/>
  <c r="U151" i="34" s="1"/>
  <c r="U152" i="34" s="1"/>
  <c r="U153" i="34" s="1"/>
  <c r="U155" i="34" s="1"/>
  <c r="U157" i="34" s="1"/>
  <c r="U158" i="34" s="1"/>
  <c r="V124" i="34"/>
  <c r="V151" i="34" s="1"/>
  <c r="V152" i="34" s="1"/>
  <c r="V153" i="34" s="1"/>
  <c r="V155" i="34" s="1"/>
  <c r="V157" i="34" s="1"/>
  <c r="V158" i="34" s="1"/>
  <c r="W124" i="34"/>
  <c r="W151" i="34" s="1"/>
  <c r="W152" i="34" s="1"/>
  <c r="W153" i="34" s="1"/>
  <c r="W155" i="34" s="1"/>
  <c r="W157" i="34" s="1"/>
  <c r="W158" i="34" s="1"/>
  <c r="E124" i="34"/>
  <c r="E151" i="34" s="1"/>
  <c r="E152" i="34" s="1"/>
  <c r="E153" i="34" s="1"/>
  <c r="E155" i="34" s="1"/>
  <c r="E157" i="34" s="1"/>
  <c r="E158" i="34" s="1"/>
  <c r="L124" i="34"/>
  <c r="L151" i="34" s="1"/>
  <c r="L152" i="34" s="1"/>
  <c r="L153" i="34" s="1"/>
  <c r="L155" i="34" s="1"/>
  <c r="L157" i="34" s="1"/>
  <c r="L158" i="34" s="1"/>
  <c r="I124" i="34"/>
  <c r="I151" i="34" s="1"/>
  <c r="I152" i="34" s="1"/>
  <c r="I153" i="34" s="1"/>
  <c r="I155" i="34" s="1"/>
  <c r="I157" i="34" s="1"/>
  <c r="I158" i="34" s="1"/>
  <c r="K124" i="34"/>
  <c r="K151" i="34" s="1"/>
  <c r="K152" i="34" s="1"/>
  <c r="K153" i="34" s="1"/>
  <c r="K155" i="34" s="1"/>
  <c r="K157" i="34" s="1"/>
  <c r="K158" i="34" s="1"/>
  <c r="C124" i="34"/>
  <c r="C151" i="34" s="1"/>
  <c r="C152" i="34" s="1"/>
  <c r="C153" i="34" s="1"/>
  <c r="C155" i="34" s="1"/>
  <c r="C157" i="34" s="1"/>
  <c r="C158" i="34" s="1"/>
  <c r="H124" i="34"/>
  <c r="H151" i="34" s="1"/>
  <c r="H152" i="34" s="1"/>
  <c r="H153" i="34" s="1"/>
  <c r="H155" i="34" s="1"/>
  <c r="H157" i="34" s="1"/>
  <c r="H158" i="34" s="1"/>
  <c r="D124" i="34"/>
  <c r="D151" i="34" s="1"/>
  <c r="D152" i="34" s="1"/>
  <c r="D153" i="34" s="1"/>
  <c r="D155" i="34" s="1"/>
  <c r="D157" i="34" s="1"/>
  <c r="D158" i="34" s="1"/>
  <c r="O124" i="34"/>
  <c r="O151" i="34" s="1"/>
  <c r="O152" i="34" s="1"/>
  <c r="O153" i="34" s="1"/>
  <c r="O155" i="34" s="1"/>
  <c r="O157" i="34" s="1"/>
  <c r="O158" i="34" s="1"/>
  <c r="F124" i="34"/>
  <c r="F151" i="34" s="1"/>
  <c r="F152" i="34" s="1"/>
  <c r="N124" i="34"/>
  <c r="N151" i="34" s="1"/>
  <c r="N152" i="34" s="1"/>
  <c r="N153" i="34" s="1"/>
  <c r="N155" i="34" s="1"/>
  <c r="N157" i="34" s="1"/>
  <c r="N158" i="34" s="1"/>
  <c r="J124" i="34"/>
  <c r="J151" i="34" s="1"/>
  <c r="J152" i="34" s="1"/>
  <c r="J153" i="34" s="1"/>
  <c r="J155" i="34" s="1"/>
  <c r="J157" i="34" s="1"/>
  <c r="J158" i="34" s="1"/>
  <c r="P124" i="34"/>
  <c r="P151" i="34" s="1"/>
  <c r="P152" i="34" s="1"/>
  <c r="P153" i="34" s="1"/>
  <c r="P155" i="34" s="1"/>
  <c r="P157" i="34" s="1"/>
  <c r="P158" i="34" s="1"/>
  <c r="M124" i="34"/>
  <c r="M151" i="34" s="1"/>
  <c r="M152" i="34" s="1"/>
  <c r="M153" i="34" s="1"/>
  <c r="M155" i="34" s="1"/>
  <c r="M157" i="34" s="1"/>
  <c r="M158" i="34" s="1"/>
  <c r="AZ152" i="34"/>
  <c r="AZ153" i="34" s="1"/>
  <c r="AZ155" i="34" s="1"/>
  <c r="AZ157" i="34" s="1"/>
  <c r="AZ158" i="34" s="1"/>
  <c r="BB152" i="34"/>
  <c r="BB153" i="34" s="1"/>
  <c r="BB155" i="34" s="1"/>
  <c r="BB157" i="34" s="1"/>
  <c r="BB158" i="34" s="1"/>
  <c r="BC152" i="34"/>
  <c r="BC153" i="34" s="1"/>
  <c r="BC155" i="34" s="1"/>
  <c r="BC157" i="34" s="1"/>
  <c r="BC158" i="34" s="1"/>
  <c r="AV152" i="34"/>
  <c r="AV153" i="34" s="1"/>
  <c r="AV155" i="34" s="1"/>
  <c r="AV157" i="34" s="1"/>
  <c r="AV158" i="34" s="1"/>
  <c r="AW152" i="34"/>
  <c r="AW153" i="34" s="1"/>
  <c r="AW155" i="34" s="1"/>
  <c r="AW157" i="34" s="1"/>
  <c r="AW158" i="34" s="1"/>
  <c r="AY152" i="34"/>
  <c r="AY153" i="34" s="1"/>
  <c r="AY155" i="34" s="1"/>
  <c r="AY157" i="34" s="1"/>
  <c r="AY158" i="34" s="1"/>
  <c r="AU152" i="34"/>
  <c r="AU153" i="34" s="1"/>
  <c r="AU155" i="34" s="1"/>
  <c r="AU157" i="34" s="1"/>
  <c r="AU158" i="34" s="1"/>
  <c r="BA155" i="34"/>
  <c r="BA157" i="34" s="1"/>
  <c r="BA158" i="34" s="1"/>
  <c r="AX155" i="34"/>
  <c r="AX157" i="34" s="1"/>
  <c r="AX158" i="34" s="1"/>
  <c r="AT155" i="34"/>
  <c r="AT157" i="34" s="1"/>
  <c r="AT158" i="34" s="1"/>
  <c r="Z152" i="34"/>
  <c r="Z153" i="34" s="1"/>
  <c r="Z155" i="34" s="1"/>
  <c r="Z157" i="34" s="1"/>
  <c r="Z158" i="34" s="1"/>
  <c r="AR152" i="34"/>
  <c r="AR153" i="34" s="1"/>
  <c r="AR155" i="34" s="1"/>
  <c r="AR157" i="34" s="1"/>
  <c r="AR158" i="34" s="1"/>
  <c r="AS152" i="34"/>
  <c r="AS153" i="34" s="1"/>
  <c r="AS155" i="34" s="1"/>
  <c r="AS157" i="34" s="1"/>
  <c r="AS158" i="34" s="1"/>
  <c r="A149" i="34"/>
  <c r="X152" i="34"/>
  <c r="X153" i="34" s="1"/>
  <c r="X155" i="34" s="1"/>
  <c r="X157" i="34" s="1"/>
  <c r="X158" i="34" s="1"/>
  <c r="A143" i="34"/>
  <c r="F153" i="34" l="1"/>
  <c r="F155" i="34" s="1"/>
  <c r="F157" i="34" s="1"/>
  <c r="F158" i="34" s="1"/>
  <c r="A159" i="34" s="1"/>
  <c r="A124" i="34"/>
  <c r="A151" i="34"/>
  <c r="A152" i="34" l="1"/>
  <c r="A153" i="34" l="1"/>
  <c r="A155" i="34" l="1"/>
  <c r="A157" i="34" l="1"/>
  <c r="C11" i="34" l="1"/>
  <c r="C12" i="34" s="1"/>
  <c r="C14"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Myers, Corey Adam</author>
  </authors>
  <commentList>
    <comment ref="B23" authorId="0" shapeId="0" xr:uid="{A3C1CDE6-769E-4621-9313-C7C49228E0EB}">
      <text>
        <r>
          <rPr>
            <b/>
            <sz val="9"/>
            <color indexed="81"/>
            <rFont val="Tahoma"/>
            <family val="2"/>
          </rPr>
          <t>Myers, Corey Adam:</t>
        </r>
        <r>
          <rPr>
            <sz val="9"/>
            <color indexed="81"/>
            <rFont val="Tahoma"/>
            <family val="2"/>
          </rPr>
          <t xml:space="preserve">
Reference 12; 
Table 4;
Industry and occupational group: Production, transportation, and
material moving occupations.
Transportation and material moving occupations.</t>
        </r>
      </text>
    </comment>
    <comment ref="B24" authorId="0" shapeId="0" xr:uid="{1DA88406-E476-4ECE-B538-2153FDAE1561}">
      <text>
        <r>
          <rPr>
            <b/>
            <sz val="9"/>
            <color indexed="81"/>
            <rFont val="Tahoma"/>
            <family val="2"/>
          </rPr>
          <t>Myers, Corey Adam:</t>
        </r>
        <r>
          <rPr>
            <sz val="9"/>
            <color indexed="81"/>
            <rFont val="Tahoma"/>
            <family val="2"/>
          </rPr>
          <t xml:space="preserve">
Reference 12; 
Table 4;
Industry and occupational group: Production, transportation, and
material moving occupations.
Production occupations.</t>
        </r>
      </text>
    </comment>
    <comment ref="B36" authorId="0" shapeId="0" xr:uid="{271A3F20-44A8-4E8B-ACC9-6FB532FFC351}">
      <text>
        <r>
          <rPr>
            <b/>
            <sz val="9"/>
            <color indexed="81"/>
            <rFont val="Tahoma"/>
            <family val="2"/>
          </rPr>
          <t>Myers, Corey Adam:</t>
        </r>
        <r>
          <rPr>
            <sz val="9"/>
            <color indexed="81"/>
            <rFont val="Tahoma"/>
            <family val="2"/>
          </rPr>
          <t xml:space="preserve">
Reference 7</t>
        </r>
      </text>
    </comment>
    <comment ref="B37" authorId="0" shapeId="0" xr:uid="{F8BB5A30-B2A2-4A54-8117-3DF55CFED9BF}">
      <text>
        <r>
          <rPr>
            <b/>
            <sz val="9"/>
            <color indexed="81"/>
            <rFont val="Tahoma"/>
            <family val="2"/>
          </rPr>
          <t>Myers, Corey Adam:</t>
        </r>
        <r>
          <rPr>
            <sz val="9"/>
            <color indexed="81"/>
            <rFont val="Tahoma"/>
            <family val="2"/>
          </rPr>
          <t xml:space="preserve">
Reference 7</t>
        </r>
      </text>
    </comment>
    <comment ref="B39" authorId="0" shapeId="0" xr:uid="{DF1F60A0-12D1-4570-9C50-16BE7F82B938}">
      <text>
        <r>
          <rPr>
            <b/>
            <sz val="9"/>
            <color indexed="81"/>
            <rFont val="Tahoma"/>
            <family val="2"/>
          </rPr>
          <t>Myers, Corey Adam:</t>
        </r>
        <r>
          <rPr>
            <sz val="9"/>
            <color indexed="81"/>
            <rFont val="Tahoma"/>
            <family val="2"/>
          </rPr>
          <t xml:space="preserve">
Refrence 28.
Pastureland.</t>
        </r>
      </text>
    </comment>
    <comment ref="B72" authorId="0" shapeId="0" xr:uid="{3CB515E5-C376-44BA-9063-CD677DAB80A5}">
      <text>
        <r>
          <rPr>
            <b/>
            <sz val="9"/>
            <color indexed="81"/>
            <rFont val="Tahoma"/>
            <family val="2"/>
          </rPr>
          <t>Myers, Corey Adam:</t>
        </r>
        <r>
          <rPr>
            <sz val="9"/>
            <color indexed="81"/>
            <rFont val="Tahoma"/>
            <family val="2"/>
          </rPr>
          <t xml:space="preserve">
reference 16
calculated from CO2 intensity and fuel usage regulated limits;
using IPCC AR6 100-y GWP factors</t>
        </r>
      </text>
    </comment>
    <comment ref="B74" authorId="0" shapeId="0" xr:uid="{BE65EC71-C474-42C1-B12D-D3DCBF9DA5B2}">
      <text>
        <r>
          <rPr>
            <b/>
            <sz val="9"/>
            <color indexed="81"/>
            <rFont val="Tahoma"/>
            <family val="2"/>
          </rPr>
          <t>Myers, Corey Adam:</t>
        </r>
        <r>
          <rPr>
            <sz val="9"/>
            <color indexed="81"/>
            <rFont val="Tahoma"/>
            <family val="2"/>
          </rPr>
          <t xml:space="preserve">
Reference 41</t>
        </r>
      </text>
    </comment>
    <comment ref="B76" authorId="0" shapeId="0" xr:uid="{DB908098-C594-44F3-99E5-E24687D73912}">
      <text>
        <r>
          <rPr>
            <b/>
            <sz val="9"/>
            <color indexed="81"/>
            <rFont val="Tahoma"/>
            <family val="2"/>
          </rPr>
          <t>Myers, Corey Adam:</t>
        </r>
        <r>
          <rPr>
            <sz val="9"/>
            <color indexed="81"/>
            <rFont val="Tahoma"/>
            <family val="2"/>
          </rPr>
          <t xml:space="preserve">
Reference 41;
using IPCC AR6 100-y GWP factors</t>
        </r>
      </text>
    </comment>
    <comment ref="B78" authorId="0" shapeId="0" xr:uid="{90965324-E50C-4F8B-8052-1343D33596AC}">
      <text>
        <r>
          <rPr>
            <b/>
            <sz val="9"/>
            <color indexed="81"/>
            <rFont val="Tahoma"/>
            <family val="2"/>
          </rPr>
          <t>Myers, Corey Adam:</t>
        </r>
        <r>
          <rPr>
            <sz val="9"/>
            <color indexed="81"/>
            <rFont val="Tahoma"/>
            <family val="2"/>
          </rPr>
          <t xml:space="preserve">
using IPCC AR6 100-y GWP factors</t>
        </r>
      </text>
    </comment>
    <comment ref="B79" authorId="0" shapeId="0" xr:uid="{CB64439E-75BC-4572-8BCE-0C687EB1D8D3}">
      <text>
        <r>
          <rPr>
            <b/>
            <sz val="9"/>
            <color indexed="81"/>
            <rFont val="Tahoma"/>
            <family val="2"/>
          </rPr>
          <t>Myers, Corey Adam:</t>
        </r>
        <r>
          <rPr>
            <sz val="9"/>
            <color indexed="81"/>
            <rFont val="Tahoma"/>
            <family val="2"/>
          </rPr>
          <t xml:space="preserve">
Reference 24.
Average of acceptable range 135–160 lb/ft3.</t>
        </r>
      </text>
    </comment>
    <comment ref="B80" authorId="0" shapeId="0" xr:uid="{4F3D44D2-8D4C-471A-877F-766CA4E17FBB}">
      <text>
        <r>
          <rPr>
            <b/>
            <sz val="9"/>
            <color indexed="81"/>
            <rFont val="Tahoma"/>
            <family val="2"/>
          </rPr>
          <t>Myers, Corey Adam:</t>
        </r>
        <r>
          <rPr>
            <sz val="9"/>
            <color indexed="81"/>
            <rFont val="Tahoma"/>
            <family val="2"/>
          </rPr>
          <t xml:space="preserve">
Reference 41;
using IPCC AR6 100-y GWP factors</t>
        </r>
      </text>
    </comment>
    <comment ref="B82" authorId="0" shapeId="0" xr:uid="{12032861-2CD0-40FA-ACB7-CB90E56E4119}">
      <text>
        <r>
          <rPr>
            <b/>
            <sz val="9"/>
            <color indexed="81"/>
            <rFont val="Tahoma"/>
            <family val="2"/>
          </rPr>
          <t>Myers, Corey Adam:</t>
        </r>
        <r>
          <rPr>
            <sz val="9"/>
            <color indexed="81"/>
            <rFont val="Tahoma"/>
            <family val="2"/>
          </rPr>
          <t xml:space="preserve">
using IPCC AR6 100-y GWP factors</t>
        </r>
      </text>
    </comment>
    <comment ref="B85" authorId="0" shapeId="0" xr:uid="{8C525EAE-18C2-4065-AB90-70DDF195623D}">
      <text>
        <r>
          <rPr>
            <b/>
            <sz val="9"/>
            <color indexed="81"/>
            <rFont val="Tahoma"/>
            <family val="2"/>
          </rPr>
          <t>Myers, Corey Adam:</t>
        </r>
        <r>
          <rPr>
            <sz val="9"/>
            <color indexed="81"/>
            <rFont val="Tahoma"/>
            <family val="2"/>
          </rPr>
          <t xml:space="preserve">
Reference 40</t>
        </r>
      </text>
    </comment>
    <comment ref="B87" authorId="0" shapeId="0" xr:uid="{3607E7F4-8CB3-4633-8A6F-BF9ED9AB6B34}">
      <text>
        <r>
          <rPr>
            <b/>
            <sz val="9"/>
            <color indexed="81"/>
            <rFont val="Tahoma"/>
            <family val="2"/>
          </rPr>
          <t>Myers, Corey Adam:</t>
        </r>
        <r>
          <rPr>
            <sz val="9"/>
            <color indexed="81"/>
            <rFont val="Tahoma"/>
            <family val="2"/>
          </rPr>
          <t xml:space="preserve">
Reference 40</t>
        </r>
      </text>
    </comment>
    <comment ref="B90" authorId="0" shapeId="0" xr:uid="{B2DC035F-EED4-4D12-8A88-ED0C3550B82F}">
      <text>
        <r>
          <rPr>
            <b/>
            <sz val="9"/>
            <color indexed="81"/>
            <rFont val="Tahoma"/>
            <family val="2"/>
          </rPr>
          <t>Myers, Corey Adam:</t>
        </r>
        <r>
          <rPr>
            <sz val="9"/>
            <color indexed="81"/>
            <rFont val="Tahoma"/>
            <family val="2"/>
          </rPr>
          <t xml:space="preserve">
Refrence 29.
Perlite evacuated to 20 Pa.</t>
        </r>
      </text>
    </comment>
    <comment ref="B91" authorId="0" shapeId="0" xr:uid="{1800782A-C295-4224-A55A-D090393C3F73}">
      <text>
        <r>
          <rPr>
            <b/>
            <sz val="9"/>
            <color indexed="81"/>
            <rFont val="Tahoma"/>
            <family val="2"/>
          </rPr>
          <t>Myers, Corey Adam:</t>
        </r>
        <r>
          <rPr>
            <sz val="9"/>
            <color indexed="81"/>
            <rFont val="Tahoma"/>
            <family val="2"/>
          </rPr>
          <t xml:space="preserve">
Refrence 29.
Polyurethane evacauated to 20000 Pa.</t>
        </r>
      </text>
    </comment>
    <comment ref="B92" authorId="0" shapeId="0" xr:uid="{11209484-FFBD-46ED-ACE7-4311B0CB0E47}">
      <text>
        <r>
          <rPr>
            <b/>
            <sz val="9"/>
            <color indexed="81"/>
            <rFont val="Tahoma"/>
            <family val="2"/>
          </rPr>
          <t>Myers, Corey Adam:</t>
        </r>
        <r>
          <rPr>
            <sz val="9"/>
            <color indexed="81"/>
            <rFont val="Tahoma"/>
            <family val="2"/>
          </rPr>
          <t xml:space="preserve">
Dry, sea level.</t>
        </r>
      </text>
    </comment>
    <comment ref="B96" authorId="0" shapeId="0" xr:uid="{5391993B-78D4-4187-9499-ECC4AE3DD6F5}">
      <text>
        <r>
          <rPr>
            <b/>
            <sz val="9"/>
            <color indexed="81"/>
            <rFont val="Tahoma"/>
            <family val="2"/>
          </rPr>
          <t>Myers, Corey Adam:</t>
        </r>
        <r>
          <rPr>
            <sz val="9"/>
            <color indexed="81"/>
            <rFont val="Tahoma"/>
            <family val="2"/>
          </rPr>
          <t xml:space="preserve">
Reference 33.
Partly cloudy conditions.</t>
        </r>
      </text>
    </comment>
    <comment ref="B97" authorId="0" shapeId="0" xr:uid="{84308EFD-8029-4E8C-8707-0B33FCB01B5D}">
      <text>
        <r>
          <rPr>
            <b/>
            <sz val="9"/>
            <color indexed="81"/>
            <rFont val="Tahoma"/>
            <family val="2"/>
          </rPr>
          <t>Myers, Corey Adam:</t>
        </r>
        <r>
          <rPr>
            <sz val="9"/>
            <color indexed="81"/>
            <rFont val="Tahoma"/>
            <family val="2"/>
          </rPr>
          <t xml:space="preserve">
Refrence 35.</t>
        </r>
      </text>
    </comment>
    <comment ref="B98" authorId="0" shapeId="0" xr:uid="{AA87D6F4-AB2B-4CAC-B82D-593EBDF262E5}">
      <text>
        <r>
          <rPr>
            <b/>
            <sz val="9"/>
            <color indexed="81"/>
            <rFont val="Tahoma"/>
            <family val="2"/>
          </rPr>
          <t>Myers, Corey Adam:</t>
        </r>
        <r>
          <rPr>
            <sz val="9"/>
            <color indexed="81"/>
            <rFont val="Tahoma"/>
            <family val="2"/>
          </rPr>
          <t xml:space="preserve">
at 1.5 Mpa and -29 C</t>
        </r>
      </text>
    </comment>
    <comment ref="B99" authorId="0" shapeId="0" xr:uid="{9D15D220-22AC-4EFB-A9EC-E9FF284AAEC7}">
      <text>
        <r>
          <rPr>
            <b/>
            <sz val="9"/>
            <color indexed="81"/>
            <rFont val="Tahoma"/>
            <family val="2"/>
          </rPr>
          <t>Myers, Corey Adam:</t>
        </r>
        <r>
          <rPr>
            <sz val="9"/>
            <color indexed="81"/>
            <rFont val="Tahoma"/>
            <family val="2"/>
          </rPr>
          <t xml:space="preserve">
Reference 32</t>
        </r>
      </text>
    </comment>
    <comment ref="B104" authorId="0" shapeId="0" xr:uid="{9EE03F8A-4CE1-426C-B609-FA339D876311}">
      <text>
        <r>
          <rPr>
            <b/>
            <sz val="9"/>
            <color indexed="81"/>
            <rFont val="Tahoma"/>
            <family val="2"/>
          </rPr>
          <t>Myers, Corey Adam:</t>
        </r>
        <r>
          <rPr>
            <sz val="9"/>
            <color indexed="81"/>
            <rFont val="Tahoma"/>
            <family val="2"/>
          </rPr>
          <t xml:space="preserve">
Reference 18</t>
        </r>
      </text>
    </comment>
    <comment ref="B105" authorId="0" shapeId="0" xr:uid="{1EE8EB66-DB01-4FAB-8139-1935DA2AAB59}">
      <text>
        <r>
          <rPr>
            <b/>
            <sz val="9"/>
            <color indexed="81"/>
            <rFont val="Tahoma"/>
            <family val="2"/>
          </rPr>
          <t>Myers, Corey Adam:</t>
        </r>
        <r>
          <rPr>
            <sz val="9"/>
            <color indexed="81"/>
            <rFont val="Tahoma"/>
            <family val="2"/>
          </rPr>
          <t xml:space="preserve">
Reference 19</t>
        </r>
      </text>
    </comment>
    <comment ref="B107" authorId="0" shapeId="0" xr:uid="{EF84E8C7-15BB-42DB-90BC-F51DC1B237BA}">
      <text>
        <r>
          <rPr>
            <b/>
            <sz val="9"/>
            <color indexed="81"/>
            <rFont val="Tahoma"/>
            <family val="2"/>
          </rPr>
          <t>Myers, Corey Adam:</t>
        </r>
        <r>
          <rPr>
            <sz val="9"/>
            <color indexed="81"/>
            <rFont val="Tahoma"/>
            <family val="2"/>
          </rPr>
          <t xml:space="preserve">
Refrence 31.
DOT 113A60W</t>
        </r>
      </text>
    </comment>
    <comment ref="B110" authorId="0" shapeId="0" xr:uid="{39EB6A18-E14E-4A58-ADD6-76B39140595A}">
      <text>
        <r>
          <rPr>
            <b/>
            <sz val="9"/>
            <color indexed="81"/>
            <rFont val="Tahoma"/>
            <family val="2"/>
          </rPr>
          <t>Myers, Corey Adam:</t>
        </r>
        <r>
          <rPr>
            <sz val="9"/>
            <color indexed="81"/>
            <rFont val="Tahoma"/>
            <family val="2"/>
          </rPr>
          <t xml:space="preserve">
Reference 38</t>
        </r>
      </text>
    </comment>
    <comment ref="B111" authorId="0" shapeId="0" xr:uid="{C1383025-E6E1-4471-B8D8-6AFDC46C51BD}">
      <text>
        <r>
          <rPr>
            <b/>
            <sz val="9"/>
            <color indexed="81"/>
            <rFont val="Tahoma"/>
            <family val="2"/>
          </rPr>
          <t>Myers, Corey Adam:</t>
        </r>
        <r>
          <rPr>
            <sz val="9"/>
            <color indexed="81"/>
            <rFont val="Tahoma"/>
            <family val="2"/>
          </rPr>
          <t xml:space="preserve">
Refrence 38</t>
        </r>
      </text>
    </comment>
    <comment ref="B112" authorId="0" shapeId="0" xr:uid="{098E73A2-E45B-4028-90EE-61A8DEAF123E}">
      <text>
        <r>
          <rPr>
            <b/>
            <sz val="9"/>
            <color indexed="81"/>
            <rFont val="Tahoma"/>
            <family val="2"/>
          </rPr>
          <t>Myers, Corey Adam:</t>
        </r>
        <r>
          <rPr>
            <sz val="9"/>
            <color indexed="81"/>
            <rFont val="Tahoma"/>
            <family val="2"/>
          </rPr>
          <t xml:space="preserve">
Reference 59
</t>
        </r>
      </text>
    </comment>
    <comment ref="B113" authorId="0" shapeId="0" xr:uid="{C524FA9E-2FBD-4792-AD2E-EE8F4627100F}">
      <text>
        <r>
          <rPr>
            <b/>
            <sz val="9"/>
            <color indexed="81"/>
            <rFont val="Tahoma"/>
            <family val="2"/>
          </rPr>
          <t>Myers, Corey Adam:</t>
        </r>
        <r>
          <rPr>
            <sz val="9"/>
            <color indexed="81"/>
            <rFont val="Tahoma"/>
            <family val="2"/>
          </rPr>
          <t xml:space="preserve">
Reference 54</t>
        </r>
      </text>
    </comment>
    <comment ref="B127" authorId="0" shapeId="0" xr:uid="{000E999D-1D23-46CA-99A4-96E45F46E43F}">
      <text>
        <r>
          <rPr>
            <b/>
            <sz val="9"/>
            <color indexed="81"/>
            <rFont val="Tahoma"/>
            <family val="2"/>
          </rPr>
          <t>Myers, Corey Adam:</t>
        </r>
        <r>
          <rPr>
            <sz val="9"/>
            <color indexed="81"/>
            <rFont val="Tahoma"/>
            <family val="2"/>
          </rPr>
          <t xml:space="preserve">
Reference 1</t>
        </r>
      </text>
    </comment>
    <comment ref="C130" authorId="0" shapeId="0" xr:uid="{E16D36FC-1E22-4710-857F-11955F24DA99}">
      <text>
        <r>
          <rPr>
            <b/>
            <sz val="9"/>
            <color indexed="81"/>
            <rFont val="Tahoma"/>
            <family val="2"/>
          </rPr>
          <t>Myers, Corey Adam:</t>
        </r>
        <r>
          <rPr>
            <sz val="9"/>
            <color indexed="81"/>
            <rFont val="Tahoma"/>
            <family val="2"/>
          </rPr>
          <t xml:space="preserve">
Reference 2</t>
        </r>
      </text>
    </comment>
    <comment ref="B159" authorId="0" shapeId="0" xr:uid="{B182F9E0-BFDF-4BE0-A571-B91F3511295D}">
      <text>
        <r>
          <rPr>
            <b/>
            <sz val="9"/>
            <color indexed="81"/>
            <rFont val="Tahoma"/>
            <family val="2"/>
          </rPr>
          <t>Myers, Corey Adam:</t>
        </r>
        <r>
          <rPr>
            <sz val="9"/>
            <color indexed="81"/>
            <rFont val="Tahoma"/>
            <family val="2"/>
          </rPr>
          <t xml:space="preserve">
Reference 3</t>
        </r>
      </text>
    </comment>
    <comment ref="B160" authorId="0" shapeId="0" xr:uid="{72A84ED1-D89C-4154-971D-072B304F78C6}">
      <text>
        <r>
          <rPr>
            <b/>
            <sz val="9"/>
            <color indexed="81"/>
            <rFont val="Tahoma"/>
            <family val="2"/>
          </rPr>
          <t>Myers, Corey Adam:</t>
        </r>
        <r>
          <rPr>
            <sz val="9"/>
            <color indexed="81"/>
            <rFont val="Tahoma"/>
            <family val="2"/>
          </rPr>
          <t xml:space="preserve">
Reference 4</t>
        </r>
      </text>
    </comment>
    <comment ref="B161" authorId="0" shapeId="0" xr:uid="{5B87A41C-CA1B-4BDF-A29B-64A6FE4471EB}">
      <text>
        <r>
          <rPr>
            <b/>
            <sz val="9"/>
            <color indexed="81"/>
            <rFont val="Tahoma"/>
            <family val="2"/>
          </rPr>
          <t>Myers, Corey Adam:</t>
        </r>
        <r>
          <rPr>
            <sz val="9"/>
            <color indexed="81"/>
            <rFont val="Tahoma"/>
            <family val="2"/>
          </rPr>
          <t xml:space="preserve">
Refrence 5</t>
        </r>
      </text>
    </comment>
    <comment ref="B162" authorId="0" shapeId="0" xr:uid="{84E51332-3AC1-43A3-BAC9-2B64AF1F7948}">
      <text>
        <r>
          <rPr>
            <b/>
            <sz val="9"/>
            <color indexed="81"/>
            <rFont val="Tahoma"/>
            <family val="2"/>
          </rPr>
          <t>Myers, Corey Adam:</t>
        </r>
        <r>
          <rPr>
            <sz val="9"/>
            <color indexed="81"/>
            <rFont val="Tahoma"/>
            <family val="2"/>
          </rPr>
          <t xml:space="preserve">
Reference 6</t>
        </r>
      </text>
    </comment>
    <comment ref="B163" authorId="0" shapeId="0" xr:uid="{842A8CF2-1ABB-4597-BF5F-B42AED68133F}">
      <text>
        <r>
          <rPr>
            <b/>
            <sz val="9"/>
            <color indexed="81"/>
            <rFont val="Tahoma"/>
            <family val="2"/>
          </rPr>
          <t>Myers, Corey Adam:</t>
        </r>
        <r>
          <rPr>
            <sz val="9"/>
            <color indexed="81"/>
            <rFont val="Tahoma"/>
            <family val="2"/>
          </rPr>
          <t xml:space="preserve">
Reference 6</t>
        </r>
      </text>
    </comment>
    <comment ref="B164" authorId="0" shapeId="0" xr:uid="{40464CEF-6972-4425-A8C2-8D2C1E9FDB80}">
      <text>
        <r>
          <rPr>
            <b/>
            <sz val="9"/>
            <color indexed="81"/>
            <rFont val="Tahoma"/>
            <family val="2"/>
          </rPr>
          <t>Myers, Corey Adam:</t>
        </r>
        <r>
          <rPr>
            <sz val="9"/>
            <color indexed="81"/>
            <rFont val="Tahoma"/>
            <family val="2"/>
          </rPr>
          <t xml:space="preserve">
Reference 6</t>
        </r>
      </text>
    </comment>
    <comment ref="B165" authorId="0" shapeId="0" xr:uid="{CD8BA0B1-C014-4391-A5F4-789D72CE5B29}">
      <text>
        <r>
          <rPr>
            <b/>
            <sz val="9"/>
            <color indexed="81"/>
            <rFont val="Tahoma"/>
            <family val="2"/>
          </rPr>
          <t>Myers, Corey Adam:</t>
        </r>
        <r>
          <rPr>
            <sz val="9"/>
            <color indexed="81"/>
            <rFont val="Tahoma"/>
            <family val="2"/>
          </rPr>
          <t xml:space="preserve">
Reference 6</t>
        </r>
      </text>
    </comment>
    <comment ref="B166" authorId="0" shapeId="0" xr:uid="{8B4CA322-5571-4806-B625-2B10A5E1B205}">
      <text>
        <r>
          <rPr>
            <b/>
            <sz val="9"/>
            <color indexed="81"/>
            <rFont val="Tahoma"/>
            <family val="2"/>
          </rPr>
          <t>Myers, Corey Adam:</t>
        </r>
        <r>
          <rPr>
            <sz val="9"/>
            <color indexed="81"/>
            <rFont val="Tahoma"/>
            <family val="2"/>
          </rPr>
          <t xml:space="preserve">
Reference 1</t>
        </r>
      </text>
    </comment>
    <comment ref="B167" authorId="0" shapeId="0" xr:uid="{6FD6A5FF-BA8C-4FD2-94DA-535F6CCD1FB4}">
      <text>
        <r>
          <rPr>
            <b/>
            <sz val="9"/>
            <color indexed="81"/>
            <rFont val="Tahoma"/>
            <family val="2"/>
          </rPr>
          <t>Myers, Corey Adam:</t>
        </r>
        <r>
          <rPr>
            <sz val="9"/>
            <color indexed="81"/>
            <rFont val="Tahoma"/>
            <family val="2"/>
          </rPr>
          <t xml:space="preserve">
Refrence 5</t>
        </r>
      </text>
    </comment>
    <comment ref="D168" authorId="0" shapeId="0" xr:uid="{2F0695BD-8BA6-4B67-A0B9-EFDFB118CB76}">
      <text>
        <r>
          <rPr>
            <b/>
            <sz val="9"/>
            <color indexed="81"/>
            <rFont val="Tahoma"/>
            <family val="2"/>
          </rPr>
          <t>Myers, Corey Adam:</t>
        </r>
        <r>
          <rPr>
            <sz val="9"/>
            <color indexed="81"/>
            <rFont val="Tahoma"/>
            <family val="2"/>
          </rPr>
          <t xml:space="preserve">
Reference 45</t>
        </r>
      </text>
    </comment>
    <comment ref="D169" authorId="0" shapeId="0" xr:uid="{5528B488-C7AC-4046-B381-0716DE5D0866}">
      <text>
        <r>
          <rPr>
            <b/>
            <sz val="9"/>
            <color indexed="81"/>
            <rFont val="Tahoma"/>
            <family val="2"/>
          </rPr>
          <t>Myers, Corey Adam:</t>
        </r>
        <r>
          <rPr>
            <sz val="9"/>
            <color indexed="81"/>
            <rFont val="Tahoma"/>
            <family val="2"/>
          </rPr>
          <t xml:space="preserve">
Class 4 cost estimate, medium complexity system, medium complexity technology
</t>
        </r>
      </text>
    </comment>
    <comment ref="D170" authorId="0" shapeId="0" xr:uid="{3373041A-379C-45A5-9945-ADA8BAF20F00}">
      <text>
        <r>
          <rPr>
            <b/>
            <sz val="9"/>
            <color indexed="81"/>
            <rFont val="Tahoma"/>
            <family val="2"/>
          </rPr>
          <t>Myers, Corey Adam:</t>
        </r>
        <r>
          <rPr>
            <sz val="9"/>
            <color indexed="81"/>
            <rFont val="Tahoma"/>
            <family val="2"/>
          </rPr>
          <t xml:space="preserve">
Class 4 cost estimate, low complexity system, low complexity technology
</t>
        </r>
      </text>
    </comment>
    <comment ref="D171" authorId="0" shapeId="0" xr:uid="{FC9EEF48-0BD7-4A58-BB35-420EC433D0BD}">
      <text>
        <r>
          <rPr>
            <b/>
            <sz val="9"/>
            <color indexed="81"/>
            <rFont val="Tahoma"/>
            <family val="2"/>
          </rPr>
          <t>Myers, Corey Adam:</t>
        </r>
        <r>
          <rPr>
            <sz val="9"/>
            <color indexed="81"/>
            <rFont val="Tahoma"/>
            <family val="2"/>
          </rPr>
          <t xml:space="preserve">
Class 3 cost estimate, low complexity system, medium complexity technology</t>
        </r>
      </text>
    </comment>
    <comment ref="F177" authorId="0" shapeId="0" xr:uid="{879F9631-6ECE-4045-AEB5-3868A078E124}">
      <text>
        <r>
          <rPr>
            <b/>
            <sz val="9"/>
            <color indexed="81"/>
            <rFont val="Tahoma"/>
            <family val="2"/>
          </rPr>
          <t>Myers, Corey Adam:</t>
        </r>
        <r>
          <rPr>
            <sz val="9"/>
            <color indexed="81"/>
            <rFont val="Tahoma"/>
            <family val="2"/>
          </rPr>
          <t xml:space="preserve">
Reference 58</t>
        </r>
      </text>
    </comment>
    <comment ref="F178" authorId="0" shapeId="0" xr:uid="{2799C092-0D5E-4849-9F20-BCB1C9E6CCAD}">
      <text>
        <r>
          <rPr>
            <b/>
            <sz val="9"/>
            <color indexed="81"/>
            <rFont val="Tahoma"/>
            <family val="2"/>
          </rPr>
          <t>Myers, Corey Adam:</t>
        </r>
        <r>
          <rPr>
            <sz val="9"/>
            <color indexed="81"/>
            <rFont val="Tahoma"/>
            <family val="2"/>
          </rPr>
          <t xml:space="preserve">
Reference 58
IPCC AR4 100-y GWP factors</t>
        </r>
      </text>
    </comment>
    <comment ref="AN178" authorId="0" shapeId="0" xr:uid="{1BFC00E9-97E1-4D81-8467-ABE81BE3BA4E}">
      <text>
        <r>
          <rPr>
            <b/>
            <sz val="9"/>
            <color indexed="81"/>
            <rFont val="Tahoma"/>
            <family val="2"/>
          </rPr>
          <t>Myers, Corey Adam:</t>
        </r>
        <r>
          <rPr>
            <sz val="9"/>
            <color indexed="81"/>
            <rFont val="Tahoma"/>
            <family val="2"/>
          </rPr>
          <t xml:space="preserve">
Reference 13</t>
        </r>
      </text>
    </comment>
    <comment ref="B179" authorId="0" shapeId="0" xr:uid="{89FDD251-6DD0-482C-A7EF-A1CEC7CC9D39}">
      <text>
        <r>
          <rPr>
            <b/>
            <sz val="9"/>
            <color indexed="81"/>
            <rFont val="Tahoma"/>
            <family val="2"/>
          </rPr>
          <t>Myers, Corey Adam:</t>
        </r>
        <r>
          <rPr>
            <sz val="9"/>
            <color indexed="81"/>
            <rFont val="Tahoma"/>
            <family val="2"/>
          </rPr>
          <t xml:space="preserve">
Refrence 8</t>
        </r>
      </text>
    </comment>
    <comment ref="C179" authorId="0" shapeId="0" xr:uid="{8DFD9FFE-00AE-4E46-B426-D6A1D9432883}">
      <text>
        <r>
          <rPr>
            <b/>
            <sz val="9"/>
            <color indexed="81"/>
            <rFont val="Tahoma"/>
            <family val="2"/>
          </rPr>
          <t>Myers, Corey Adam:</t>
        </r>
        <r>
          <rPr>
            <sz val="9"/>
            <color indexed="81"/>
            <rFont val="Tahoma"/>
            <family val="2"/>
          </rPr>
          <t xml:space="preserve">
Reference 57</t>
        </r>
      </text>
    </comment>
    <comment ref="E179" authorId="0" shapeId="0" xr:uid="{EC082DAF-6539-4CB6-965B-8EB57D4C3A6D}">
      <text>
        <r>
          <rPr>
            <b/>
            <sz val="9"/>
            <color indexed="81"/>
            <rFont val="Tahoma"/>
            <family val="2"/>
          </rPr>
          <t>Myers, Corey Adam:</t>
        </r>
        <r>
          <rPr>
            <sz val="9"/>
            <color indexed="81"/>
            <rFont val="Tahoma"/>
            <family val="2"/>
          </rPr>
          <t xml:space="preserve">
Reference 9</t>
        </r>
      </text>
    </comment>
    <comment ref="T179" authorId="0" shapeId="0" xr:uid="{B3CB4B09-8937-47A6-A09C-60EB4C4B105F}">
      <text>
        <r>
          <rPr>
            <b/>
            <sz val="9"/>
            <color indexed="81"/>
            <rFont val="Tahoma"/>
            <family val="2"/>
          </rPr>
          <t>Myers, Corey Adam:</t>
        </r>
        <r>
          <rPr>
            <sz val="9"/>
            <color indexed="81"/>
            <rFont val="Tahoma"/>
            <family val="2"/>
          </rPr>
          <t xml:space="preserve">
Reference 9</t>
        </r>
      </text>
    </comment>
    <comment ref="U179" authorId="0" shapeId="0" xr:uid="{1DC8B805-359D-4D1E-A83D-5F75642ABC3A}">
      <text>
        <r>
          <rPr>
            <b/>
            <sz val="9"/>
            <color indexed="81"/>
            <rFont val="Tahoma"/>
            <family val="2"/>
          </rPr>
          <t>Myers, Corey Adam:</t>
        </r>
        <r>
          <rPr>
            <sz val="9"/>
            <color indexed="81"/>
            <rFont val="Tahoma"/>
            <family val="2"/>
          </rPr>
          <t xml:space="preserve">
Reference 15.
2019 Data.</t>
        </r>
      </text>
    </comment>
    <comment ref="V179" authorId="0" shapeId="0" xr:uid="{40E8F552-8499-4C58-9857-4EA130272130}">
      <text>
        <r>
          <rPr>
            <b/>
            <sz val="9"/>
            <color indexed="81"/>
            <rFont val="Tahoma"/>
            <family val="2"/>
          </rPr>
          <t>Myers, Corey Adam:</t>
        </r>
        <r>
          <rPr>
            <sz val="9"/>
            <color indexed="81"/>
            <rFont val="Tahoma"/>
            <family val="2"/>
          </rPr>
          <t xml:space="preserve">
Reference 52.</t>
        </r>
      </text>
    </comment>
    <comment ref="W179" authorId="0" shapeId="0" xr:uid="{C9B4E35C-E515-4EC7-95C9-8727EBD94A6E}">
      <text>
        <r>
          <rPr>
            <b/>
            <sz val="9"/>
            <color indexed="81"/>
            <rFont val="Tahoma"/>
            <family val="2"/>
          </rPr>
          <t>Myers, Corey Adam:</t>
        </r>
        <r>
          <rPr>
            <sz val="9"/>
            <color indexed="81"/>
            <rFont val="Tahoma"/>
            <family val="2"/>
          </rPr>
          <t xml:space="preserve">
Reference 52.</t>
        </r>
      </text>
    </comment>
    <comment ref="X179" authorId="0" shapeId="0" xr:uid="{DEB312F4-DC60-48FE-96A3-AB044A4E9DF6}">
      <text>
        <r>
          <rPr>
            <b/>
            <sz val="9"/>
            <color indexed="81"/>
            <rFont val="Tahoma"/>
            <family val="2"/>
          </rPr>
          <t>Myers, Corey Adam:</t>
        </r>
        <r>
          <rPr>
            <sz val="9"/>
            <color indexed="81"/>
            <rFont val="Tahoma"/>
            <family val="2"/>
          </rPr>
          <t xml:space="preserve">
Reference 14.
On highway No. 2 Diesel, Ultra low Sulfur, 10-y average</t>
        </r>
      </text>
    </comment>
    <comment ref="Y179" authorId="0" shapeId="0" xr:uid="{F4E00991-95D0-43C1-B071-54A1E7178BA3}">
      <text>
        <r>
          <rPr>
            <b/>
            <sz val="9"/>
            <color indexed="81"/>
            <rFont val="Tahoma"/>
            <family val="2"/>
          </rPr>
          <t>Myers, Corey Adam:</t>
        </r>
        <r>
          <rPr>
            <sz val="9"/>
            <color indexed="81"/>
            <rFont val="Tahoma"/>
            <family val="2"/>
          </rPr>
          <t xml:space="preserve">
Reference 10</t>
        </r>
      </text>
    </comment>
    <comment ref="Z179" authorId="0" shapeId="0" xr:uid="{4AA3F718-8834-4027-B818-9CADC30737E0}">
      <text>
        <r>
          <rPr>
            <b/>
            <sz val="9"/>
            <color indexed="81"/>
            <rFont val="Tahoma"/>
            <family val="2"/>
          </rPr>
          <t>Myers, Corey Adam:</t>
        </r>
        <r>
          <rPr>
            <sz val="9"/>
            <color indexed="81"/>
            <rFont val="Tahoma"/>
            <family val="2"/>
          </rPr>
          <t xml:space="preserve">
Refrence 34</t>
        </r>
      </text>
    </comment>
    <comment ref="AB179" authorId="0" shapeId="0" xr:uid="{7687D8E9-21D7-4B0F-9DD6-68780EF49765}">
      <text>
        <r>
          <rPr>
            <b/>
            <sz val="9"/>
            <color indexed="81"/>
            <rFont val="Tahoma"/>
            <family val="2"/>
          </rPr>
          <t>Myers, Corey Adam:</t>
        </r>
        <r>
          <rPr>
            <sz val="9"/>
            <color indexed="81"/>
            <rFont val="Tahoma"/>
            <family val="2"/>
          </rPr>
          <t xml:space="preserve">
Refrence 28.
Pastureland.</t>
        </r>
      </text>
    </comment>
    <comment ref="AC179" authorId="0" shapeId="0" xr:uid="{86FD47A6-5FE0-48D0-8200-A43729811630}">
      <text>
        <r>
          <rPr>
            <b/>
            <sz val="9"/>
            <color indexed="81"/>
            <rFont val="Tahoma"/>
            <family val="2"/>
          </rPr>
          <t>Myers, Corey Adam:</t>
        </r>
        <r>
          <rPr>
            <sz val="9"/>
            <color indexed="81"/>
            <rFont val="Tahoma"/>
            <family val="2"/>
          </rPr>
          <t xml:space="preserve">
Reference 11; OCC Title: 53-3032
</t>
        </r>
      </text>
    </comment>
    <comment ref="AD179" authorId="0" shapeId="0" xr:uid="{E95E6B65-526B-40EE-97AE-C5AEF1F48097}">
      <text>
        <r>
          <rPr>
            <b/>
            <sz val="9"/>
            <color indexed="81"/>
            <rFont val="Tahoma"/>
            <family val="2"/>
          </rPr>
          <t>Myers, Corey Adam:</t>
        </r>
        <r>
          <rPr>
            <sz val="9"/>
            <color indexed="81"/>
            <rFont val="Tahoma"/>
            <family val="2"/>
          </rPr>
          <t xml:space="preserve">
Reference 11; OCC Title: 53-3032</t>
        </r>
      </text>
    </comment>
    <comment ref="AE179" authorId="0" shapeId="0" xr:uid="{6AC856B9-02C2-43E2-BBF3-41AF47917654}">
      <text>
        <r>
          <rPr>
            <b/>
            <sz val="9"/>
            <color indexed="81"/>
            <rFont val="Tahoma"/>
            <family val="2"/>
          </rPr>
          <t>Myers, Corey Adam:</t>
        </r>
        <r>
          <rPr>
            <sz val="9"/>
            <color indexed="81"/>
            <rFont val="Tahoma"/>
            <family val="2"/>
          </rPr>
          <t xml:space="preserve">
Reference 42.
Specialized drivers.</t>
        </r>
      </text>
    </comment>
    <comment ref="AF179" authorId="0" shapeId="0" xr:uid="{8C97ED7C-ACEB-4E5D-8098-A4DB92F18402}">
      <text>
        <r>
          <rPr>
            <b/>
            <sz val="9"/>
            <color indexed="81"/>
            <rFont val="Tahoma"/>
            <family val="2"/>
          </rPr>
          <t>Myers, Corey Adam:</t>
        </r>
        <r>
          <rPr>
            <sz val="9"/>
            <color indexed="81"/>
            <rFont val="Tahoma"/>
            <family val="2"/>
          </rPr>
          <t xml:space="preserve">
Reference 11; OCC Title: 53-7021</t>
        </r>
      </text>
    </comment>
    <comment ref="AG179" authorId="0" shapeId="0" xr:uid="{F419E70D-A3AC-42FB-A1F3-36D9E8E4D6F0}">
      <text>
        <r>
          <rPr>
            <b/>
            <sz val="9"/>
            <color indexed="81"/>
            <rFont val="Tahoma"/>
            <family val="2"/>
          </rPr>
          <t>Myers, Corey Adam:</t>
        </r>
        <r>
          <rPr>
            <sz val="9"/>
            <color indexed="81"/>
            <rFont val="Tahoma"/>
            <family val="2"/>
          </rPr>
          <t xml:space="preserve">
Reference 11; OCC Title: 53-7021</t>
        </r>
      </text>
    </comment>
    <comment ref="AH179" authorId="0" shapeId="0" xr:uid="{84310E1F-4B19-4236-BC34-8EB806B937F2}">
      <text>
        <r>
          <rPr>
            <b/>
            <sz val="9"/>
            <color indexed="81"/>
            <rFont val="Tahoma"/>
            <family val="2"/>
          </rPr>
          <t>Myers, Corey Adam:</t>
        </r>
        <r>
          <rPr>
            <sz val="9"/>
            <color indexed="81"/>
            <rFont val="Tahoma"/>
            <family val="2"/>
          </rPr>
          <t xml:space="preserve">
Reference 11; OCC Title: 53-7071</t>
        </r>
      </text>
    </comment>
    <comment ref="AI179" authorId="0" shapeId="0" xr:uid="{E2B977FF-E769-43C0-8E9D-A8DAD0B54361}">
      <text>
        <r>
          <rPr>
            <b/>
            <sz val="9"/>
            <color indexed="81"/>
            <rFont val="Tahoma"/>
            <family val="2"/>
          </rPr>
          <t>Myers, Corey Adam:</t>
        </r>
        <r>
          <rPr>
            <sz val="9"/>
            <color indexed="81"/>
            <rFont val="Tahoma"/>
            <family val="2"/>
          </rPr>
          <t xml:space="preserve">
Reference 11; OCC Title: 53-7071</t>
        </r>
      </text>
    </comment>
    <comment ref="AJ179" authorId="0" shapeId="0" xr:uid="{8C58401A-BCA9-43FD-8697-4202CCEBBBFC}">
      <text>
        <r>
          <rPr>
            <b/>
            <sz val="9"/>
            <color indexed="81"/>
            <rFont val="Tahoma"/>
            <family val="2"/>
          </rPr>
          <t>Myers, Corey Adam:</t>
        </r>
        <r>
          <rPr>
            <sz val="9"/>
            <color indexed="81"/>
            <rFont val="Tahoma"/>
            <family val="2"/>
          </rPr>
          <t xml:space="preserve">
Reference 11; OCC Title: 53-7072</t>
        </r>
      </text>
    </comment>
    <comment ref="AK179" authorId="0" shapeId="0" xr:uid="{53736518-DF35-4411-B2E2-E1CFDF64C4C1}">
      <text>
        <r>
          <rPr>
            <b/>
            <sz val="9"/>
            <color indexed="81"/>
            <rFont val="Tahoma"/>
            <family val="2"/>
          </rPr>
          <t>Myers, Corey Adam:</t>
        </r>
        <r>
          <rPr>
            <sz val="9"/>
            <color indexed="81"/>
            <rFont val="Tahoma"/>
            <family val="2"/>
          </rPr>
          <t xml:space="preserve">
Reference 11; OCC Title: 53-7072</t>
        </r>
      </text>
    </comment>
    <comment ref="AL179" authorId="0" shapeId="0" xr:uid="{8DF87F0F-E7F2-4B11-AA91-89FC827C35F4}">
      <text>
        <r>
          <rPr>
            <b/>
            <sz val="9"/>
            <color indexed="81"/>
            <rFont val="Tahoma"/>
            <family val="2"/>
          </rPr>
          <t>Myers, Corey Adam:</t>
        </r>
        <r>
          <rPr>
            <sz val="9"/>
            <color indexed="81"/>
            <rFont val="Tahoma"/>
            <family val="2"/>
          </rPr>
          <t xml:space="preserve">
Reference 11; OCC Title: 53-7051</t>
        </r>
      </text>
    </comment>
    <comment ref="AM179" authorId="0" shapeId="0" xr:uid="{2EC8C052-27E8-4EB6-BA26-8D5A06A048FF}">
      <text>
        <r>
          <rPr>
            <b/>
            <sz val="9"/>
            <color indexed="81"/>
            <rFont val="Tahoma"/>
            <family val="2"/>
          </rPr>
          <t>Myers, Corey Adam:</t>
        </r>
        <r>
          <rPr>
            <sz val="9"/>
            <color indexed="81"/>
            <rFont val="Tahoma"/>
            <family val="2"/>
          </rPr>
          <t xml:space="preserve">
Reference 11; OCC Title: 53-7051</t>
        </r>
      </text>
    </comment>
    <comment ref="AN179" authorId="0" shapeId="0" xr:uid="{6BD53868-6F81-41D6-8F5D-DFDDEB190D27}">
      <text>
        <r>
          <rPr>
            <b/>
            <sz val="9"/>
            <color indexed="81"/>
            <rFont val="Tahoma"/>
            <family val="2"/>
          </rPr>
          <t>Myers, Corey Adam:</t>
        </r>
        <r>
          <rPr>
            <sz val="9"/>
            <color indexed="81"/>
            <rFont val="Tahoma"/>
            <family val="2"/>
          </rPr>
          <t xml:space="preserve">
Refreence 62</t>
        </r>
      </text>
    </comment>
    <comment ref="BO179" authorId="0" shapeId="0" xr:uid="{5D666F96-B282-4F00-8E07-4C35EC03E2F1}">
      <text>
        <r>
          <rPr>
            <b/>
            <sz val="9"/>
            <color indexed="81"/>
            <rFont val="Tahoma"/>
            <family val="2"/>
          </rPr>
          <t>Myers, Corey Adam:</t>
        </r>
        <r>
          <rPr>
            <sz val="9"/>
            <color indexed="81"/>
            <rFont val="Tahoma"/>
            <family val="2"/>
          </rPr>
          <t xml:space="preserve">
Reference 37
Includes rural and urban interstate highways.
Not lane-miles, does not double count both directions of traffic.</t>
        </r>
      </text>
    </comment>
    <comment ref="BP179" authorId="0" shapeId="0" xr:uid="{0754D9D8-B6C6-476B-A043-2D61E5182013}">
      <text>
        <r>
          <rPr>
            <b/>
            <sz val="9"/>
            <color indexed="81"/>
            <rFont val="Tahoma"/>
            <family val="2"/>
          </rPr>
          <t>Myers, Corey Adam:</t>
        </r>
        <r>
          <rPr>
            <sz val="9"/>
            <color indexed="81"/>
            <rFont val="Tahoma"/>
            <family val="2"/>
          </rPr>
          <t xml:space="preserve">
Only along interstates. Does not double count weigh stations for both sides of traffic.</t>
        </r>
      </text>
    </comment>
    <comment ref="BR179" authorId="0" shapeId="0" xr:uid="{1629AEAA-C8B5-48C6-A16E-55B56D56766A}">
      <text>
        <r>
          <rPr>
            <b/>
            <sz val="9"/>
            <color indexed="81"/>
            <rFont val="Tahoma"/>
            <family val="2"/>
          </rPr>
          <t>Myers, Corey Adam:</t>
        </r>
        <r>
          <rPr>
            <sz val="9"/>
            <color indexed="81"/>
            <rFont val="Tahoma"/>
            <family val="2"/>
          </rPr>
          <t xml:space="preserve">
Reference 42</t>
        </r>
      </text>
    </comment>
    <comment ref="BS179" authorId="0" shapeId="0" xr:uid="{C8F3B89F-54DC-46E2-825D-C84271A275E0}">
      <text>
        <r>
          <rPr>
            <b/>
            <sz val="9"/>
            <color indexed="81"/>
            <rFont val="Tahoma"/>
            <family val="2"/>
          </rPr>
          <t>Myers, Corey Adam:</t>
        </r>
        <r>
          <rPr>
            <sz val="9"/>
            <color indexed="81"/>
            <rFont val="Tahoma"/>
            <family val="2"/>
          </rPr>
          <t xml:space="preserve">
Reference 42</t>
        </r>
      </text>
    </comment>
    <comment ref="BT179" authorId="0" shapeId="0" xr:uid="{33BB4E11-0403-46E0-932F-3AB2CD8809DD}">
      <text>
        <r>
          <rPr>
            <b/>
            <sz val="9"/>
            <color indexed="81"/>
            <rFont val="Tahoma"/>
            <family val="2"/>
          </rPr>
          <t>Myers, Corey Adam:</t>
        </r>
        <r>
          <rPr>
            <sz val="9"/>
            <color indexed="81"/>
            <rFont val="Tahoma"/>
            <family val="2"/>
          </rPr>
          <t xml:space="preserve">
Reference 42</t>
        </r>
      </text>
    </comment>
    <comment ref="BU179" authorId="0" shapeId="0" xr:uid="{B87666E6-82D7-4B04-91D9-7CD9388B470A}">
      <text>
        <r>
          <rPr>
            <b/>
            <sz val="9"/>
            <color indexed="81"/>
            <rFont val="Tahoma"/>
            <family val="2"/>
          </rPr>
          <t>Myers, Corey Adam:</t>
        </r>
        <r>
          <rPr>
            <sz val="9"/>
            <color indexed="81"/>
            <rFont val="Tahoma"/>
            <family val="2"/>
          </rPr>
          <t xml:space="preserve">
Reference 42
</t>
        </r>
      </text>
    </comment>
    <comment ref="BV179" authorId="0" shapeId="0" xr:uid="{05940A42-856B-4552-92C1-62A5DEA94A70}">
      <text>
        <r>
          <rPr>
            <b/>
            <sz val="9"/>
            <color indexed="81"/>
            <rFont val="Tahoma"/>
            <family val="2"/>
          </rPr>
          <t>Myers, Corey Adam:</t>
        </r>
        <r>
          <rPr>
            <sz val="9"/>
            <color indexed="81"/>
            <rFont val="Tahoma"/>
            <family val="2"/>
          </rPr>
          <t xml:space="preserve">
Reference 42</t>
        </r>
      </text>
    </comment>
    <comment ref="R181" authorId="0" shapeId="0" xr:uid="{1B0F1F61-8B42-4B76-B44F-B093010821D0}">
      <text>
        <r>
          <rPr>
            <b/>
            <sz val="9"/>
            <color indexed="81"/>
            <rFont val="Tahoma"/>
            <family val="2"/>
          </rPr>
          <t>Myers, Corey Adam:</t>
        </r>
        <r>
          <rPr>
            <sz val="9"/>
            <color indexed="81"/>
            <rFont val="Tahoma"/>
            <family val="2"/>
          </rPr>
          <t xml:space="preserve">
Generation, based on 2022 grid mix using reference 58 tool.</t>
        </r>
      </text>
    </comment>
    <comment ref="S181" authorId="0" shapeId="0" xr:uid="{037FA72E-3C65-4E63-B5C8-FBA1D8ACE326}">
      <text>
        <r>
          <rPr>
            <b/>
            <sz val="9"/>
            <color indexed="81"/>
            <rFont val="Tahoma"/>
            <family val="2"/>
          </rPr>
          <t>Myers, Corey Adam:</t>
        </r>
        <r>
          <rPr>
            <sz val="9"/>
            <color indexed="81"/>
            <rFont val="Tahoma"/>
            <family val="2"/>
          </rPr>
          <t xml:space="preserve">
Electricity generation using 2019 grid mix and reference 58 tool.</t>
        </r>
      </text>
    </comment>
    <comment ref="X184" authorId="0" shapeId="0" xr:uid="{74223A3E-DAB6-4CF0-B6FD-AD764FDDA38F}">
      <text>
        <r>
          <rPr>
            <b/>
            <sz val="9"/>
            <color indexed="81"/>
            <rFont val="Tahoma"/>
            <family val="2"/>
          </rPr>
          <t>Myers, Corey Adam:</t>
        </r>
        <r>
          <rPr>
            <sz val="9"/>
            <color indexed="81"/>
            <rFont val="Tahoma"/>
            <family val="2"/>
          </rPr>
          <t xml:space="preserve">
Reference 14.
On highway No. 2 Diesel, Ultra low Sulfur, 10-y average</t>
        </r>
      </text>
    </comment>
    <comment ref="R190" authorId="0" shapeId="0" xr:uid="{9FDECD14-EF25-4D1D-B121-C71BAFF44B91}">
      <text>
        <r>
          <rPr>
            <b/>
            <sz val="9"/>
            <color indexed="81"/>
            <rFont val="Tahoma"/>
            <family val="2"/>
          </rPr>
          <t>Myers, Corey Adam:</t>
        </r>
        <r>
          <rPr>
            <sz val="9"/>
            <color indexed="81"/>
            <rFont val="Tahoma"/>
            <family val="2"/>
          </rPr>
          <t xml:space="preserve">
Electricity generation using 2019 grid mix and reference 58 tool.</t>
        </r>
      </text>
    </comment>
    <comment ref="S190" authorId="0" shapeId="0" xr:uid="{B261DB47-229C-4DD0-A9C5-2E45AA25B331}">
      <text>
        <r>
          <rPr>
            <b/>
            <sz val="9"/>
            <color indexed="81"/>
            <rFont val="Tahoma"/>
            <family val="2"/>
          </rPr>
          <t>Myers, Corey Adam:</t>
        </r>
        <r>
          <rPr>
            <sz val="9"/>
            <color indexed="81"/>
            <rFont val="Tahoma"/>
            <family val="2"/>
          </rPr>
          <t xml:space="preserve">
Electricity generation using 2019 grid mix and reference 58 tool.</t>
        </r>
      </text>
    </comment>
    <comment ref="X231" authorId="0" shapeId="0" xr:uid="{52A4A650-10EF-4691-9760-BCD311C1F4A5}">
      <text>
        <r>
          <rPr>
            <b/>
            <sz val="9"/>
            <color indexed="81"/>
            <rFont val="Tahoma"/>
            <family val="2"/>
          </rPr>
          <t>Myers, Corey Adam:</t>
        </r>
        <r>
          <rPr>
            <sz val="9"/>
            <color indexed="81"/>
            <rFont val="Tahoma"/>
            <family val="2"/>
          </rPr>
          <t xml:space="preserve">
Reference 14.
On highway No. 2 Diesel, Ultra low Sulfur, 10-y average</t>
        </r>
      </text>
    </comment>
    <comment ref="W238" authorId="0" shapeId="0" xr:uid="{3EE16804-21F7-44D2-97FA-055C49289A42}">
      <text>
        <r>
          <rPr>
            <b/>
            <sz val="9"/>
            <color indexed="81"/>
            <rFont val="Tahoma"/>
            <family val="2"/>
          </rPr>
          <t>Myers, Corey Adam:</t>
        </r>
        <r>
          <rPr>
            <sz val="9"/>
            <color indexed="81"/>
            <rFont val="Tahoma"/>
            <family val="2"/>
          </rPr>
          <t xml:space="preserve">
Reference 52</t>
        </r>
      </text>
    </comment>
    <comment ref="AB238" authorId="0" shapeId="0" xr:uid="{B9511084-5F9A-4A2D-8F64-67107A0934A7}">
      <text>
        <r>
          <rPr>
            <b/>
            <sz val="9"/>
            <color indexed="81"/>
            <rFont val="Tahoma"/>
            <family val="2"/>
          </rPr>
          <t>Myers, Corey Adam:</t>
        </r>
        <r>
          <rPr>
            <sz val="9"/>
            <color indexed="81"/>
            <rFont val="Tahoma"/>
            <family val="2"/>
          </rPr>
          <t xml:space="preserve">
Refrence 28.
Pastureland.</t>
        </r>
      </text>
    </comment>
    <comment ref="AE238" authorId="0" shapeId="0" xr:uid="{61FD85DF-9421-4D4B-BD76-9E6C4F26497E}">
      <text>
        <r>
          <rPr>
            <b/>
            <sz val="9"/>
            <color indexed="81"/>
            <rFont val="Tahoma"/>
            <family val="2"/>
          </rPr>
          <t>Myers, Corey Adam:</t>
        </r>
        <r>
          <rPr>
            <sz val="9"/>
            <color indexed="81"/>
            <rFont val="Tahoma"/>
            <family val="2"/>
          </rPr>
          <t xml:space="preserve">
Reference 42.
Specialized drivers.</t>
        </r>
      </text>
    </comment>
    <comment ref="BR238" authorId="0" shapeId="0" xr:uid="{1035D3D1-35E9-465E-B5CE-362D77201A45}">
      <text>
        <r>
          <rPr>
            <b/>
            <sz val="9"/>
            <color indexed="81"/>
            <rFont val="Tahoma"/>
            <family val="2"/>
          </rPr>
          <t>Myers, Corey Adam:</t>
        </r>
        <r>
          <rPr>
            <sz val="9"/>
            <color indexed="81"/>
            <rFont val="Tahoma"/>
            <family val="2"/>
          </rPr>
          <t xml:space="preserve">
Reference 42</t>
        </r>
      </text>
    </comment>
    <comment ref="BS238" authorId="0" shapeId="0" xr:uid="{51FBA753-D1FA-4248-A014-5FA30C6D2288}">
      <text>
        <r>
          <rPr>
            <b/>
            <sz val="9"/>
            <color indexed="81"/>
            <rFont val="Tahoma"/>
            <family val="2"/>
          </rPr>
          <t>Myers, Corey Adam:</t>
        </r>
        <r>
          <rPr>
            <sz val="9"/>
            <color indexed="81"/>
            <rFont val="Tahoma"/>
            <family val="2"/>
          </rPr>
          <t xml:space="preserve">
Reference 42</t>
        </r>
      </text>
    </comment>
    <comment ref="BT238" authorId="0" shapeId="0" xr:uid="{0374B661-D656-44D9-8F52-DC42AB0E0414}">
      <text>
        <r>
          <rPr>
            <b/>
            <sz val="9"/>
            <color indexed="81"/>
            <rFont val="Tahoma"/>
            <family val="2"/>
          </rPr>
          <t>Myers, Corey Adam:</t>
        </r>
        <r>
          <rPr>
            <sz val="9"/>
            <color indexed="81"/>
            <rFont val="Tahoma"/>
            <family val="2"/>
          </rPr>
          <t xml:space="preserve">
Reference 42</t>
        </r>
      </text>
    </comment>
    <comment ref="BU238" authorId="0" shapeId="0" xr:uid="{5047FCB5-F1A2-4DD6-A681-0AEC8A1223B2}">
      <text>
        <r>
          <rPr>
            <b/>
            <sz val="9"/>
            <color indexed="81"/>
            <rFont val="Tahoma"/>
            <family val="2"/>
          </rPr>
          <t>Myers, Corey Adam:</t>
        </r>
        <r>
          <rPr>
            <sz val="9"/>
            <color indexed="81"/>
            <rFont val="Tahoma"/>
            <family val="2"/>
          </rPr>
          <t xml:space="preserve">
Reference 42
</t>
        </r>
      </text>
    </comment>
    <comment ref="BV238" authorId="0" shapeId="0" xr:uid="{F98DA362-7BC0-4DFF-87E7-FB796167292F}">
      <text>
        <r>
          <rPr>
            <b/>
            <sz val="9"/>
            <color indexed="81"/>
            <rFont val="Tahoma"/>
            <family val="2"/>
          </rPr>
          <t>Myers, Corey Adam:</t>
        </r>
        <r>
          <rPr>
            <sz val="9"/>
            <color indexed="81"/>
            <rFont val="Tahoma"/>
            <family val="2"/>
          </rPr>
          <t xml:space="preserve">
Reference 42</t>
        </r>
      </text>
    </comment>
    <comment ref="A264" authorId="0" shapeId="0" xr:uid="{4F72F9DD-3BD3-4E8D-8BE1-9371938DB752}">
      <text>
        <r>
          <rPr>
            <b/>
            <sz val="9"/>
            <color indexed="81"/>
            <rFont val="Tahoma"/>
            <family val="2"/>
          </rPr>
          <t>Myers, Corey Adam:</t>
        </r>
        <r>
          <rPr>
            <sz val="9"/>
            <color indexed="81"/>
            <rFont val="Tahoma"/>
            <family val="2"/>
          </rPr>
          <t xml:space="preserve">
Reference 56</t>
        </r>
      </text>
    </comment>
    <comment ref="A269" authorId="0" shapeId="0" xr:uid="{2531EEE8-C9EF-490D-A0B2-02A68B9628FD}">
      <text>
        <r>
          <rPr>
            <b/>
            <sz val="9"/>
            <color indexed="81"/>
            <rFont val="Tahoma"/>
            <family val="2"/>
          </rPr>
          <t>Myers, Corey Adam:</t>
        </r>
        <r>
          <rPr>
            <sz val="9"/>
            <color indexed="81"/>
            <rFont val="Tahoma"/>
            <family val="2"/>
          </rPr>
          <t xml:space="preserve">
Reference 43</t>
        </r>
      </text>
    </comment>
    <comment ref="A274" authorId="0" shapeId="0" xr:uid="{F2236681-7EB5-4B48-9F7F-DDF65EB12706}">
      <text>
        <r>
          <rPr>
            <b/>
            <sz val="9"/>
            <color indexed="81"/>
            <rFont val="Tahoma"/>
            <family val="2"/>
          </rPr>
          <t>Myers, Corey Adam:</t>
        </r>
        <r>
          <rPr>
            <sz val="9"/>
            <color indexed="81"/>
            <rFont val="Tahoma"/>
            <family val="2"/>
          </rPr>
          <t xml:space="preserve">
Reference 43.</t>
        </r>
      </text>
    </comment>
    <comment ref="A303" authorId="0" shapeId="0" xr:uid="{806A1F7A-C512-450C-B3EC-BB01BEC287D8}">
      <text>
        <r>
          <rPr>
            <b/>
            <sz val="9"/>
            <color indexed="81"/>
            <rFont val="Tahoma"/>
            <family val="2"/>
          </rPr>
          <t>Myers, Corey Adam:</t>
        </r>
        <r>
          <rPr>
            <sz val="9"/>
            <color indexed="81"/>
            <rFont val="Tahoma"/>
            <family val="2"/>
          </rPr>
          <t xml:space="preserve">
Cost trend recalculated to linear fitting using Reference 43 data where appropriate.</t>
        </r>
      </text>
    </comment>
    <comment ref="A304" authorId="0" shapeId="0" xr:uid="{78176AAF-25A1-46B2-8979-EBAC01BBC645}">
      <text>
        <r>
          <rPr>
            <b/>
            <sz val="9"/>
            <color indexed="81"/>
            <rFont val="Tahoma"/>
            <family val="2"/>
          </rPr>
          <t>Myers, Corey Adam:</t>
        </r>
        <r>
          <rPr>
            <sz val="9"/>
            <color indexed="81"/>
            <rFont val="Tahoma"/>
            <family val="2"/>
          </rPr>
          <t xml:space="preserve">
Cost trend recalculated to linear fitting using Reference 43 data where appropriate.</t>
        </r>
      </text>
    </comment>
    <comment ref="A330" authorId="0" shapeId="0" xr:uid="{0D0EAD43-BFBA-4BE6-BC0B-E5BCDCB5B0BC}">
      <text>
        <r>
          <rPr>
            <b/>
            <sz val="9"/>
            <color indexed="81"/>
            <rFont val="Tahoma"/>
            <family val="2"/>
          </rPr>
          <t>Myers, Corey Adam:</t>
        </r>
        <r>
          <rPr>
            <sz val="9"/>
            <color indexed="81"/>
            <rFont val="Tahoma"/>
            <family val="2"/>
          </rPr>
          <t xml:space="preserve">
at reference 43 flowrate</t>
        </r>
      </text>
    </comment>
    <comment ref="A332" authorId="0" shapeId="0" xr:uid="{1AE607F0-B84E-47D1-A6DB-6E1A6812AEA6}">
      <text>
        <r>
          <rPr>
            <b/>
            <sz val="9"/>
            <color indexed="81"/>
            <rFont val="Tahoma"/>
            <family val="2"/>
          </rPr>
          <t>Myers, Corey Adam:</t>
        </r>
        <r>
          <rPr>
            <sz val="9"/>
            <color indexed="81"/>
            <rFont val="Tahoma"/>
            <family val="2"/>
          </rPr>
          <t xml:space="preserve">
at reference 43 flowrate</t>
        </r>
      </text>
    </comment>
    <comment ref="A333" authorId="0" shapeId="0" xr:uid="{241D57EE-5773-4C43-BEBC-5251F170212D}">
      <text>
        <r>
          <rPr>
            <b/>
            <sz val="9"/>
            <color indexed="81"/>
            <rFont val="Tahoma"/>
            <family val="2"/>
          </rPr>
          <t>Myers, Corey Adam:</t>
        </r>
        <r>
          <rPr>
            <sz val="9"/>
            <color indexed="81"/>
            <rFont val="Tahoma"/>
            <family val="2"/>
          </rPr>
          <t xml:space="preserve">
at reference 43 flowrate</t>
        </r>
      </text>
    </comment>
    <comment ref="B360" authorId="0" shapeId="0" xr:uid="{BFC16507-FA52-46D4-971B-C370A597EC22}">
      <text>
        <r>
          <rPr>
            <b/>
            <sz val="9"/>
            <color indexed="81"/>
            <rFont val="Tahoma"/>
            <family val="2"/>
          </rPr>
          <t>Myers, Corey Adam:</t>
        </r>
        <r>
          <rPr>
            <sz val="9"/>
            <color indexed="81"/>
            <rFont val="Tahoma"/>
            <family val="2"/>
          </rPr>
          <t xml:space="preserve">
Reference 7</t>
        </r>
      </text>
    </comment>
    <comment ref="B361" authorId="0" shapeId="0" xr:uid="{6664F7C8-F951-40CD-B686-9B46EA983222}">
      <text>
        <r>
          <rPr>
            <b/>
            <sz val="9"/>
            <color indexed="81"/>
            <rFont val="Tahoma"/>
            <family val="2"/>
          </rPr>
          <t>Myers, Corey Adam:</t>
        </r>
        <r>
          <rPr>
            <sz val="9"/>
            <color indexed="81"/>
            <rFont val="Tahoma"/>
            <family val="2"/>
          </rPr>
          <t xml:space="preserve">
Reference 7</t>
        </r>
      </text>
    </comment>
    <comment ref="A366" authorId="0" shapeId="0" xr:uid="{F2154E1C-43C6-4097-AE65-423626D44297}">
      <text>
        <r>
          <rPr>
            <b/>
            <sz val="9"/>
            <color indexed="81"/>
            <rFont val="Tahoma"/>
            <family val="2"/>
          </rPr>
          <t>Myers, Corey Adam:</t>
        </r>
        <r>
          <rPr>
            <sz val="9"/>
            <color indexed="81"/>
            <rFont val="Tahoma"/>
            <family val="2"/>
          </rPr>
          <t xml:space="preserve">
Reference 44</t>
        </r>
      </text>
    </comment>
    <comment ref="A380" authorId="0" shapeId="0" xr:uid="{18E5EB1A-913A-4160-BF7D-D1FEE55B9988}">
      <text>
        <r>
          <rPr>
            <b/>
            <sz val="9"/>
            <color indexed="81"/>
            <rFont val="Tahoma"/>
            <family val="2"/>
          </rPr>
          <t>Myers, Corey Adam:</t>
        </r>
        <r>
          <rPr>
            <sz val="9"/>
            <color indexed="81"/>
            <rFont val="Tahoma"/>
            <family val="2"/>
          </rPr>
          <t xml:space="preserve">
Reference 36</t>
        </r>
      </text>
    </comment>
    <comment ref="A442" authorId="0" shapeId="0" xr:uid="{1F578BF9-C478-4B7C-9A9F-92080F19414F}">
      <text>
        <r>
          <rPr>
            <b/>
            <sz val="9"/>
            <color indexed="81"/>
            <rFont val="Tahoma"/>
            <family val="2"/>
          </rPr>
          <t>Myers, Corey Adam:</t>
        </r>
        <r>
          <rPr>
            <sz val="9"/>
            <color indexed="81"/>
            <rFont val="Tahoma"/>
            <family val="2"/>
          </rPr>
          <t xml:space="preserve">
Reference 36</t>
        </r>
      </text>
    </comment>
    <comment ref="A443" authorId="0" shapeId="0" xr:uid="{10E356B0-155A-4C42-A4A7-DBBB33BD62F0}">
      <text>
        <r>
          <rPr>
            <b/>
            <sz val="9"/>
            <color indexed="81"/>
            <rFont val="Tahoma"/>
            <family val="2"/>
          </rPr>
          <t>Myers, Corey Adam:</t>
        </r>
        <r>
          <rPr>
            <sz val="9"/>
            <color indexed="81"/>
            <rFont val="Tahoma"/>
            <family val="2"/>
          </rPr>
          <t xml:space="preserve">
Reference 61.</t>
        </r>
      </text>
    </comment>
    <comment ref="B466" authorId="0" shapeId="0" xr:uid="{DC9F216B-E5B8-4C5C-B1C3-03575791B82E}">
      <text>
        <r>
          <rPr>
            <b/>
            <sz val="9"/>
            <color indexed="81"/>
            <rFont val="Tahoma"/>
            <family val="2"/>
          </rPr>
          <t>Myers, Corey Adam:</t>
        </r>
        <r>
          <rPr>
            <sz val="9"/>
            <color indexed="81"/>
            <rFont val="Tahoma"/>
            <family val="2"/>
          </rPr>
          <t xml:space="preserve">
Reference 41;
using IPCC AR6 100-y GWP factors</t>
        </r>
      </text>
    </comment>
    <comment ref="C466" authorId="0" shapeId="0" xr:uid="{7CFFD0FF-361C-4498-A83F-E477C331594A}">
      <text>
        <r>
          <rPr>
            <b/>
            <sz val="9"/>
            <color indexed="81"/>
            <rFont val="Tahoma"/>
            <family val="2"/>
          </rPr>
          <t>Myers, Corey Adam:</t>
        </r>
        <r>
          <rPr>
            <sz val="9"/>
            <color indexed="81"/>
            <rFont val="Tahoma"/>
            <family val="2"/>
          </rPr>
          <t xml:space="preserve">
Reference 41;
using IPCC AR6 100-y GWP factors</t>
        </r>
      </text>
    </comment>
    <comment ref="B467" authorId="0" shapeId="0" xr:uid="{2F5F4780-6C05-46EC-8302-FDEB68F2CA70}">
      <text>
        <r>
          <rPr>
            <b/>
            <sz val="9"/>
            <color indexed="81"/>
            <rFont val="Tahoma"/>
            <family val="2"/>
          </rPr>
          <t>Myers, Corey Adam:</t>
        </r>
        <r>
          <rPr>
            <sz val="9"/>
            <color indexed="81"/>
            <rFont val="Tahoma"/>
            <family val="2"/>
          </rPr>
          <t xml:space="preserve">
Refrence 41</t>
        </r>
      </text>
    </comment>
    <comment ref="C467" authorId="0" shapeId="0" xr:uid="{1516713B-FB62-48AB-AA55-1E2F71B87886}">
      <text>
        <r>
          <rPr>
            <b/>
            <sz val="9"/>
            <color indexed="81"/>
            <rFont val="Tahoma"/>
            <family val="2"/>
          </rPr>
          <t>Myers, Corey Adam:</t>
        </r>
        <r>
          <rPr>
            <sz val="9"/>
            <color indexed="81"/>
            <rFont val="Tahoma"/>
            <family val="2"/>
          </rPr>
          <t xml:space="preserve">
Refrence 41</t>
        </r>
      </text>
    </comment>
    <comment ref="A469" authorId="0" shapeId="0" xr:uid="{A5BDBCC1-E8C3-4FF8-A306-1E5EF380E9BD}">
      <text>
        <r>
          <rPr>
            <b/>
            <sz val="9"/>
            <color indexed="81"/>
            <rFont val="Tahoma"/>
            <family val="2"/>
          </rPr>
          <t>Myers, Corey Adam:</t>
        </r>
        <r>
          <rPr>
            <sz val="9"/>
            <color indexed="81"/>
            <rFont val="Tahoma"/>
            <family val="2"/>
          </rPr>
          <t xml:space="preserve">
Reference 20</t>
        </r>
      </text>
    </comment>
    <comment ref="B474" authorId="0" shapeId="0" xr:uid="{D461B760-3577-4862-96E1-6725105DD64C}">
      <text>
        <r>
          <rPr>
            <b/>
            <sz val="9"/>
            <color indexed="81"/>
            <rFont val="Tahoma"/>
            <family val="2"/>
          </rPr>
          <t>Myers, Corey Adam:</t>
        </r>
        <r>
          <rPr>
            <sz val="9"/>
            <color indexed="81"/>
            <rFont val="Tahoma"/>
            <family val="2"/>
          </rPr>
          <t xml:space="preserve">
Reference 21</t>
        </r>
      </text>
    </comment>
    <comment ref="B484" authorId="0" shapeId="0" xr:uid="{97F5AE5B-16C2-4D57-89E5-64DCFBEAB7D8}">
      <text>
        <r>
          <rPr>
            <b/>
            <sz val="9"/>
            <color indexed="81"/>
            <rFont val="Tahoma"/>
            <family val="2"/>
          </rPr>
          <t>Myers, Corey Adam:</t>
        </r>
        <r>
          <rPr>
            <sz val="9"/>
            <color indexed="81"/>
            <rFont val="Tahoma"/>
            <family val="2"/>
          </rPr>
          <t xml:space="preserve">
Reference 39 say 908,000.
Using reference 41.</t>
        </r>
      </text>
    </comment>
    <comment ref="B493" authorId="0" shapeId="0" xr:uid="{BC90B969-EF02-4EBC-B914-E5BBAFAE8264}">
      <text>
        <r>
          <rPr>
            <b/>
            <sz val="9"/>
            <color indexed="81"/>
            <rFont val="Tahoma"/>
            <family val="2"/>
          </rPr>
          <t>Myers, Corey Adam:</t>
        </r>
        <r>
          <rPr>
            <sz val="9"/>
            <color indexed="81"/>
            <rFont val="Tahoma"/>
            <family val="2"/>
          </rPr>
          <t xml:space="preserve">
Reference 41
</t>
        </r>
      </text>
    </comment>
    <comment ref="B494" authorId="0" shapeId="0" xr:uid="{F46BA461-1622-41B1-B3E7-71605A26A517}">
      <text>
        <r>
          <rPr>
            <b/>
            <sz val="9"/>
            <color indexed="81"/>
            <rFont val="Tahoma"/>
            <family val="2"/>
          </rPr>
          <t>Myers, Corey Adam:</t>
        </r>
        <r>
          <rPr>
            <sz val="9"/>
            <color indexed="81"/>
            <rFont val="Tahoma"/>
            <family val="2"/>
          </rPr>
          <t xml:space="preserve">
Reference 41
</t>
        </r>
      </text>
    </comment>
    <comment ref="B499" authorId="0" shapeId="0" xr:uid="{7E8E6A8F-DC6D-4AE3-AB5D-7A8695F7FC6B}">
      <text>
        <r>
          <rPr>
            <b/>
            <sz val="9"/>
            <color indexed="81"/>
            <rFont val="Tahoma"/>
            <family val="2"/>
          </rPr>
          <t>Myers, Corey Adam:</t>
        </r>
        <r>
          <rPr>
            <sz val="9"/>
            <color indexed="81"/>
            <rFont val="Tahoma"/>
            <family val="2"/>
          </rPr>
          <t xml:space="preserve">
Refrence 41</t>
        </r>
      </text>
    </comment>
    <comment ref="C499" authorId="0" shapeId="0" xr:uid="{77D062B8-6D0C-4DD4-92F6-EAF37108CD76}">
      <text>
        <r>
          <rPr>
            <b/>
            <sz val="9"/>
            <color indexed="81"/>
            <rFont val="Tahoma"/>
            <family val="2"/>
          </rPr>
          <t>Myers, Corey Adam:</t>
        </r>
        <r>
          <rPr>
            <sz val="9"/>
            <color indexed="81"/>
            <rFont val="Tahoma"/>
            <family val="2"/>
          </rPr>
          <t xml:space="preserve">
Refrence 41</t>
        </r>
      </text>
    </comment>
    <comment ref="B503" authorId="0" shapeId="0" xr:uid="{C63DE33C-6608-47AF-BFB1-A6C8E30349DD}">
      <text>
        <r>
          <rPr>
            <b/>
            <sz val="9"/>
            <color indexed="81"/>
            <rFont val="Tahoma"/>
            <family val="2"/>
          </rPr>
          <t>Myers, Corey Adam:</t>
        </r>
        <r>
          <rPr>
            <sz val="9"/>
            <color indexed="81"/>
            <rFont val="Tahoma"/>
            <family val="2"/>
          </rPr>
          <t xml:space="preserve">
Average of industry quotes</t>
        </r>
      </text>
    </comment>
    <comment ref="B506" authorId="0" shapeId="0" xr:uid="{EB3FCF18-5333-4FB4-8E0F-0E8ECD1046EB}">
      <text>
        <r>
          <rPr>
            <b/>
            <sz val="9"/>
            <color indexed="81"/>
            <rFont val="Tahoma"/>
            <family val="2"/>
          </rPr>
          <t>Myers, Corey Adam:</t>
        </r>
        <r>
          <rPr>
            <sz val="9"/>
            <color indexed="81"/>
            <rFont val="Tahoma"/>
            <family val="2"/>
          </rPr>
          <t xml:space="preserve">
Reference 41;
using IPCC AR6 100-y GWP factors</t>
        </r>
      </text>
    </comment>
    <comment ref="C506" authorId="0" shapeId="0" xr:uid="{252CE0E8-7CEE-4625-B36B-F4900BC289F5}">
      <text>
        <r>
          <rPr>
            <b/>
            <sz val="9"/>
            <color indexed="81"/>
            <rFont val="Tahoma"/>
            <family val="2"/>
          </rPr>
          <t>Myers, Corey Adam:</t>
        </r>
        <r>
          <rPr>
            <sz val="9"/>
            <color indexed="81"/>
            <rFont val="Tahoma"/>
            <family val="2"/>
          </rPr>
          <t xml:space="preserve">
Reference 41;
using IPCC AR6 100-y GWP factors</t>
        </r>
      </text>
    </comment>
    <comment ref="B508" authorId="0" shapeId="0" xr:uid="{44543658-CF27-49A1-AB01-0ECC7BA8D26A}">
      <text>
        <r>
          <rPr>
            <b/>
            <sz val="9"/>
            <color indexed="81"/>
            <rFont val="Tahoma"/>
            <family val="2"/>
          </rPr>
          <t>Myers, Corey Adam:</t>
        </r>
        <r>
          <rPr>
            <sz val="9"/>
            <color indexed="81"/>
            <rFont val="Tahoma"/>
            <family val="2"/>
          </rPr>
          <t xml:space="preserve">
Refrence 41</t>
        </r>
      </text>
    </comment>
    <comment ref="C508" authorId="0" shapeId="0" xr:uid="{E9F23AB5-A184-4C6E-948A-2EAB39BDF9D4}">
      <text>
        <r>
          <rPr>
            <b/>
            <sz val="9"/>
            <color indexed="81"/>
            <rFont val="Tahoma"/>
            <family val="2"/>
          </rPr>
          <t>Myers, Corey Adam:</t>
        </r>
        <r>
          <rPr>
            <sz val="9"/>
            <color indexed="81"/>
            <rFont val="Tahoma"/>
            <family val="2"/>
          </rPr>
          <t xml:space="preserve">
Refrence 41</t>
        </r>
      </text>
    </comment>
    <comment ref="D523" authorId="0" shapeId="0" xr:uid="{37AC8301-E188-49D0-810F-BC1E21DA8E6A}">
      <text>
        <r>
          <rPr>
            <b/>
            <sz val="9"/>
            <color indexed="81"/>
            <rFont val="Tahoma"/>
            <family val="2"/>
          </rPr>
          <t>Myers, Corey Adam:</t>
        </r>
        <r>
          <rPr>
            <sz val="9"/>
            <color indexed="81"/>
            <rFont val="Tahoma"/>
            <family val="2"/>
          </rPr>
          <t xml:space="preserve">
GX20/23-ASME-01 CS SI</t>
        </r>
      </text>
    </comment>
    <comment ref="G523" authorId="0" shapeId="0" xr:uid="{6DA0DB49-DBEC-4CBB-A61B-CAC8D5E937EC}">
      <text>
        <r>
          <rPr>
            <b/>
            <sz val="9"/>
            <color indexed="81"/>
            <rFont val="Tahoma"/>
            <family val="2"/>
          </rPr>
          <t>Myers, Corey Adam:</t>
        </r>
        <r>
          <rPr>
            <sz val="9"/>
            <color indexed="81"/>
            <rFont val="Tahoma"/>
            <family val="2"/>
          </rPr>
          <t xml:space="preserve">
GX20/23-ASME-01 CS SI</t>
        </r>
      </text>
    </comment>
    <comment ref="A538" authorId="0" shapeId="0" xr:uid="{E424634C-FEA0-4D36-B076-BEA782886280}">
      <text>
        <r>
          <rPr>
            <b/>
            <sz val="9"/>
            <color indexed="81"/>
            <rFont val="Tahoma"/>
            <family val="2"/>
          </rPr>
          <t>Myers, Corey Adam:</t>
        </r>
        <r>
          <rPr>
            <sz val="9"/>
            <color indexed="81"/>
            <rFont val="Tahoma"/>
            <family val="2"/>
          </rPr>
          <t xml:space="preserve">
Per discussions with industry.</t>
        </r>
      </text>
    </comment>
    <comment ref="A539" authorId="0" shapeId="0" xr:uid="{A073BAF5-91EF-48B7-9D09-D71DC611F25A}">
      <text>
        <r>
          <rPr>
            <b/>
            <sz val="9"/>
            <color indexed="81"/>
            <rFont val="Tahoma"/>
            <family val="2"/>
          </rPr>
          <t>Myers, Corey Adam:</t>
        </r>
        <r>
          <rPr>
            <sz val="9"/>
            <color indexed="81"/>
            <rFont val="Tahoma"/>
            <family val="2"/>
          </rPr>
          <t xml:space="preserve">
Per discussions with industry.</t>
        </r>
      </text>
    </comment>
    <comment ref="B545" authorId="0" shapeId="0" xr:uid="{3B275AAE-EFFF-456A-838F-ACE4D50488E0}">
      <text>
        <r>
          <rPr>
            <b/>
            <sz val="9"/>
            <color indexed="81"/>
            <rFont val="Tahoma"/>
            <family val="2"/>
          </rPr>
          <t>Myers, Corey Adam:</t>
        </r>
        <r>
          <rPr>
            <sz val="9"/>
            <color indexed="81"/>
            <rFont val="Tahoma"/>
            <family val="2"/>
          </rPr>
          <t xml:space="preserve">
Reference 30.
11 guage carbon steel.</t>
        </r>
      </text>
    </comment>
    <comment ref="C545" authorId="0" shapeId="0" xr:uid="{EA346499-AD9B-4E20-B172-FA45674BC46A}">
      <text>
        <r>
          <rPr>
            <b/>
            <sz val="9"/>
            <color indexed="81"/>
            <rFont val="Tahoma"/>
            <family val="2"/>
          </rPr>
          <t>Myers, Corey Adam:</t>
        </r>
        <r>
          <rPr>
            <sz val="9"/>
            <color indexed="81"/>
            <rFont val="Tahoma"/>
            <family val="2"/>
          </rPr>
          <t xml:space="preserve">
Reference 30.
11 guage carbon steel.</t>
        </r>
      </text>
    </comment>
    <comment ref="F545" authorId="0" shapeId="0" xr:uid="{C1E96646-40B9-4A24-9F95-7B5ACC77C115}">
      <text>
        <r>
          <rPr>
            <b/>
            <sz val="9"/>
            <color indexed="81"/>
            <rFont val="Tahoma"/>
            <family val="2"/>
          </rPr>
          <t>Myers, Corey Adam:</t>
        </r>
        <r>
          <rPr>
            <sz val="9"/>
            <color indexed="81"/>
            <rFont val="Tahoma"/>
            <family val="2"/>
          </rPr>
          <t xml:space="preserve">
Reference 30.
11 guage carbon steel.</t>
        </r>
      </text>
    </comment>
    <comment ref="B551" authorId="0" shapeId="0" xr:uid="{D29B3237-4D82-4F2E-9417-C85937C5EB16}">
      <text>
        <r>
          <rPr>
            <b/>
            <sz val="9"/>
            <color indexed="81"/>
            <rFont val="Tahoma"/>
            <family val="2"/>
          </rPr>
          <t>Myers, Corey Adam:</t>
        </r>
        <r>
          <rPr>
            <sz val="9"/>
            <color indexed="81"/>
            <rFont val="Tahoma"/>
            <family val="2"/>
          </rPr>
          <t xml:space="preserve">
Average of commercial quotes</t>
        </r>
      </text>
    </comment>
    <comment ref="B555" authorId="0" shapeId="0" xr:uid="{0AEC7FAC-4B51-462D-962C-D2A52ED0663A}">
      <text>
        <r>
          <rPr>
            <b/>
            <sz val="9"/>
            <color indexed="81"/>
            <rFont val="Tahoma"/>
            <family val="2"/>
          </rPr>
          <t>Myers, Corey Adam:</t>
        </r>
        <r>
          <rPr>
            <sz val="9"/>
            <color indexed="81"/>
            <rFont val="Tahoma"/>
            <family val="2"/>
          </rPr>
          <t xml:space="preserve">
Average from commercial quotes.</t>
        </r>
      </text>
    </comment>
    <comment ref="B559" authorId="0" shapeId="0" xr:uid="{5AD08138-25F6-4BB1-8E6B-971095CAE3CD}">
      <text>
        <r>
          <rPr>
            <b/>
            <sz val="9"/>
            <color indexed="81"/>
            <rFont val="Tahoma"/>
            <family val="2"/>
          </rPr>
          <t>Myers, Corey Adam:</t>
        </r>
        <r>
          <rPr>
            <sz val="9"/>
            <color indexed="81"/>
            <rFont val="Tahoma"/>
            <family val="2"/>
          </rPr>
          <t xml:space="preserve">
Reference 53</t>
        </r>
      </text>
    </comment>
    <comment ref="B583" authorId="0" shapeId="0" xr:uid="{C56CAD80-5F74-4E7E-A732-E048DD16AE24}">
      <text>
        <r>
          <rPr>
            <b/>
            <sz val="9"/>
            <color indexed="81"/>
            <rFont val="Tahoma"/>
            <family val="2"/>
          </rPr>
          <t>Myers, Corey Adam:</t>
        </r>
        <r>
          <rPr>
            <sz val="9"/>
            <color indexed="81"/>
            <rFont val="Tahoma"/>
            <family val="2"/>
          </rPr>
          <t xml:space="preserve">
Refrence 22</t>
        </r>
      </text>
    </comment>
    <comment ref="B585" authorId="0" shapeId="0" xr:uid="{0853C17F-3A89-4FB8-8A86-C426AACBAF42}">
      <text>
        <r>
          <rPr>
            <b/>
            <sz val="9"/>
            <color indexed="81"/>
            <rFont val="Tahoma"/>
            <family val="2"/>
          </rPr>
          <t>Myers, Corey Adam:</t>
        </r>
        <r>
          <rPr>
            <sz val="9"/>
            <color indexed="81"/>
            <rFont val="Tahoma"/>
            <family val="2"/>
          </rPr>
          <t xml:space="preserve">
Refrence 22</t>
        </r>
      </text>
    </comment>
    <comment ref="B587" authorId="0" shapeId="0" xr:uid="{CD2BA403-602C-405E-864D-64D775D23D92}">
      <text>
        <r>
          <rPr>
            <b/>
            <sz val="9"/>
            <color indexed="81"/>
            <rFont val="Tahoma"/>
            <family val="2"/>
          </rPr>
          <t>Myers, Corey Adam:</t>
        </r>
        <r>
          <rPr>
            <sz val="9"/>
            <color indexed="81"/>
            <rFont val="Tahoma"/>
            <family val="2"/>
          </rPr>
          <t xml:space="preserve">
Refrence 22
</t>
        </r>
      </text>
    </comment>
    <comment ref="B602" authorId="0" shapeId="0" xr:uid="{1A6BDE0C-FD35-4FB6-9F9B-767BED8B814D}">
      <text>
        <r>
          <rPr>
            <b/>
            <sz val="9"/>
            <color indexed="81"/>
            <rFont val="Tahoma"/>
            <family val="2"/>
          </rPr>
          <t>Myers, Corey Adam:</t>
        </r>
        <r>
          <rPr>
            <sz val="9"/>
            <color indexed="81"/>
            <rFont val="Tahoma"/>
            <family val="2"/>
          </rPr>
          <t xml:space="preserve">
Fill time acts as break period for drivers.
Filling of gas tanks is done concurrently to LCO2 filling and/or unfilling.</t>
        </r>
      </text>
    </comment>
    <comment ref="B603" authorId="0" shapeId="0" xr:uid="{5DF6F106-288D-4E81-9770-5C6421BEE1A6}">
      <text>
        <r>
          <rPr>
            <b/>
            <sz val="9"/>
            <color indexed="81"/>
            <rFont val="Tahoma"/>
            <family val="2"/>
          </rPr>
          <t>Myers, Corey Adam:</t>
        </r>
        <r>
          <rPr>
            <sz val="9"/>
            <color indexed="81"/>
            <rFont val="Tahoma"/>
            <family val="2"/>
          </rPr>
          <t xml:space="preserve">
Fill time acts as break period for drivers.
Filling of gas tanks is done concurrently to LCO2 filling and/or unfilling.</t>
        </r>
      </text>
    </comment>
    <comment ref="B648" authorId="0" shapeId="0" xr:uid="{858AA947-FBA6-4BA8-BAD0-3E2A00697A99}">
      <text>
        <r>
          <rPr>
            <b/>
            <sz val="9"/>
            <color indexed="81"/>
            <rFont val="Tahoma"/>
            <family val="2"/>
          </rPr>
          <t>Myers, Corey Adam:</t>
        </r>
        <r>
          <rPr>
            <sz val="9"/>
            <color indexed="81"/>
            <rFont val="Tahoma"/>
            <family val="2"/>
          </rPr>
          <t xml:space="preserve">
Fill time acts as break period for drivers.
Filling of gas tanks is done concurrently to LCO2 filling and/or unfilling.</t>
        </r>
      </text>
    </comment>
    <comment ref="B652" authorId="0" shapeId="0" xr:uid="{E53BCC79-2B05-49D4-996D-8AB60F4E5EB5}">
      <text>
        <r>
          <rPr>
            <b/>
            <sz val="9"/>
            <color indexed="81"/>
            <rFont val="Tahoma"/>
            <family val="2"/>
          </rPr>
          <t>Myers, Corey Adam:</t>
        </r>
        <r>
          <rPr>
            <sz val="9"/>
            <color indexed="81"/>
            <rFont val="Tahoma"/>
            <family val="2"/>
          </rPr>
          <t xml:space="preserve">
Fill time acts as break period for drivers.
Filling of gas tanks is done concurrently to LCO2 filling and/or unfilling.</t>
        </r>
      </text>
    </comment>
    <comment ref="A759" authorId="0" shapeId="0" xr:uid="{F9CC753C-BD76-4723-8ADD-D180EEE2C0EE}">
      <text>
        <r>
          <rPr>
            <b/>
            <sz val="9"/>
            <color indexed="81"/>
            <rFont val="Tahoma"/>
            <family val="2"/>
          </rPr>
          <t>Myers, Corey Adam:</t>
        </r>
        <r>
          <rPr>
            <sz val="9"/>
            <color indexed="81"/>
            <rFont val="Tahoma"/>
            <family val="2"/>
          </rPr>
          <t xml:space="preserve">
Reference 63</t>
        </r>
      </text>
    </comment>
    <comment ref="B781" authorId="0" shapeId="0" xr:uid="{E887366E-4FF4-40C6-85F8-EB93752FE16D}">
      <text>
        <r>
          <rPr>
            <b/>
            <sz val="9"/>
            <color indexed="81"/>
            <rFont val="Tahoma"/>
            <family val="2"/>
          </rPr>
          <t>Myers, Corey Adam:</t>
        </r>
        <r>
          <rPr>
            <sz val="9"/>
            <color indexed="81"/>
            <rFont val="Tahoma"/>
            <family val="2"/>
          </rPr>
          <t xml:space="preserve">
Automatically calculated by macro to solve heat balance to 0.</t>
        </r>
      </text>
    </comment>
    <comment ref="B799" authorId="0" shapeId="0" xr:uid="{EF8DACBE-DBD4-49CA-B6C4-6DDDD0540812}">
      <text>
        <r>
          <rPr>
            <b/>
            <sz val="9"/>
            <color indexed="81"/>
            <rFont val="Tahoma"/>
            <family val="2"/>
          </rPr>
          <t>Myers, Corey Adam:</t>
        </r>
        <r>
          <rPr>
            <sz val="9"/>
            <color indexed="81"/>
            <rFont val="Tahoma"/>
            <family val="2"/>
          </rPr>
          <t xml:space="preserve">
Reference 16</t>
        </r>
      </text>
    </comment>
    <comment ref="C799" authorId="0" shapeId="0" xr:uid="{9F55AD47-A26B-44EA-BAC5-0C4A500D35EC}">
      <text>
        <r>
          <rPr>
            <b/>
            <sz val="9"/>
            <color indexed="81"/>
            <rFont val="Tahoma"/>
            <family val="2"/>
          </rPr>
          <t>Myers, Corey Adam:</t>
        </r>
        <r>
          <rPr>
            <sz val="9"/>
            <color indexed="81"/>
            <rFont val="Tahoma"/>
            <family val="2"/>
          </rPr>
          <t xml:space="preserve">
Reference 16</t>
        </r>
      </text>
    </comment>
    <comment ref="B802" authorId="0" shapeId="0" xr:uid="{D3C4202E-EB3C-41CD-A445-872F42512107}">
      <text>
        <r>
          <rPr>
            <b/>
            <sz val="9"/>
            <color indexed="81"/>
            <rFont val="Tahoma"/>
            <family val="2"/>
          </rPr>
          <t>Myers, Corey Adam:</t>
        </r>
        <r>
          <rPr>
            <sz val="9"/>
            <color indexed="81"/>
            <rFont val="Tahoma"/>
            <family val="2"/>
          </rPr>
          <t xml:space="preserve">
Reference 16</t>
        </r>
      </text>
    </comment>
    <comment ref="C802" authorId="0" shapeId="0" xr:uid="{BE0AEA5D-1D95-4F24-8945-9DC359B82F9F}">
      <text>
        <r>
          <rPr>
            <b/>
            <sz val="9"/>
            <color indexed="81"/>
            <rFont val="Tahoma"/>
            <family val="2"/>
          </rPr>
          <t>Myers, Corey Adam:</t>
        </r>
        <r>
          <rPr>
            <sz val="9"/>
            <color indexed="81"/>
            <rFont val="Tahoma"/>
            <family val="2"/>
          </rPr>
          <t xml:space="preserve">
Reference 16</t>
        </r>
      </text>
    </comment>
    <comment ref="A822" authorId="0" shapeId="0" xr:uid="{0E368627-0716-4E02-A2DB-0EADCF37414C}">
      <text>
        <r>
          <rPr>
            <b/>
            <sz val="9"/>
            <color indexed="81"/>
            <rFont val="Tahoma"/>
            <family val="2"/>
          </rPr>
          <t>Myers, Corey Adam:</t>
        </r>
        <r>
          <rPr>
            <sz val="9"/>
            <color indexed="81"/>
            <rFont val="Tahoma"/>
            <family val="2"/>
          </rPr>
          <t xml:space="preserve">
Refrence 42</t>
        </r>
      </text>
    </comment>
    <comment ref="A837" authorId="0" shapeId="0" xr:uid="{53BC671D-2E8B-4671-B7DE-97A95333507D}">
      <text>
        <r>
          <rPr>
            <b/>
            <sz val="9"/>
            <color indexed="81"/>
            <rFont val="Tahoma"/>
            <family val="2"/>
          </rPr>
          <t>Myers, Corey Adam:</t>
        </r>
        <r>
          <rPr>
            <sz val="9"/>
            <color indexed="81"/>
            <rFont val="Tahoma"/>
            <family val="2"/>
          </rPr>
          <t xml:space="preserve">
Reference 47</t>
        </r>
      </text>
    </comment>
    <comment ref="B843" authorId="0" shapeId="0" xr:uid="{2FFC5627-1668-49BC-9768-274C3EAB1537}">
      <text>
        <r>
          <rPr>
            <b/>
            <sz val="9"/>
            <color indexed="81"/>
            <rFont val="Tahoma"/>
            <family val="2"/>
          </rPr>
          <t>Myers, Corey Adam:</t>
        </r>
        <r>
          <rPr>
            <sz val="9"/>
            <color indexed="81"/>
            <rFont val="Tahoma"/>
            <family val="2"/>
          </rPr>
          <t xml:space="preserve">
Reference 59</t>
        </r>
      </text>
    </comment>
    <comment ref="B846" authorId="0" shapeId="0" xr:uid="{F79EAE2C-C57A-4341-BB23-B78C03233EBD}">
      <text>
        <r>
          <rPr>
            <b/>
            <sz val="9"/>
            <color indexed="81"/>
            <rFont val="Tahoma"/>
            <family val="2"/>
          </rPr>
          <t>Myers, Corey Adam:</t>
        </r>
        <r>
          <rPr>
            <sz val="9"/>
            <color indexed="81"/>
            <rFont val="Tahoma"/>
            <family val="2"/>
          </rPr>
          <t xml:space="preserve">
Calculated from Reference 60.</t>
        </r>
      </text>
    </comment>
    <comment ref="A850" authorId="0" shapeId="0" xr:uid="{0E3FB7A3-DBCB-497C-A55A-3CC647041027}">
      <text>
        <r>
          <rPr>
            <b/>
            <sz val="9"/>
            <color indexed="81"/>
            <rFont val="Tahoma"/>
            <family val="2"/>
          </rPr>
          <t>Myers, Corey Adam:</t>
        </r>
        <r>
          <rPr>
            <sz val="9"/>
            <color indexed="81"/>
            <rFont val="Tahoma"/>
            <family val="2"/>
          </rPr>
          <t xml:space="preserve">
Reference 42</t>
        </r>
      </text>
    </comment>
    <comment ref="B868" authorId="0" shapeId="0" xr:uid="{06A42E79-A121-4105-9D5D-CED4CF5A5DD0}">
      <text>
        <r>
          <rPr>
            <b/>
            <sz val="9"/>
            <color indexed="81"/>
            <rFont val="Tahoma"/>
            <family val="2"/>
          </rPr>
          <t>Myers, Corey Adam:</t>
        </r>
        <r>
          <rPr>
            <sz val="9"/>
            <color indexed="81"/>
            <rFont val="Tahoma"/>
            <family val="2"/>
          </rPr>
          <t xml:space="preserve">
Reference 48. 
3.58% reduction every 5 years
</t>
        </r>
      </text>
    </comment>
    <comment ref="B869" authorId="0" shapeId="0" xr:uid="{FB5CD9C0-D921-4F1B-8717-3E92CF1AE39D}">
      <text>
        <r>
          <rPr>
            <b/>
            <sz val="9"/>
            <color indexed="81"/>
            <rFont val="Tahoma"/>
            <family val="2"/>
          </rPr>
          <t>Myers, Corey Adam:</t>
        </r>
        <r>
          <rPr>
            <sz val="9"/>
            <color indexed="81"/>
            <rFont val="Tahoma"/>
            <family val="2"/>
          </rPr>
          <t xml:space="preserve">
Reference 48.
3.58% reduction every 5 years.</t>
        </r>
      </text>
    </comment>
    <comment ref="B880" authorId="0" shapeId="0" xr:uid="{AC560A79-B0F5-4EEF-A86C-F863B91FB4FD}">
      <text>
        <r>
          <rPr>
            <b/>
            <sz val="9"/>
            <color indexed="81"/>
            <rFont val="Tahoma"/>
            <family val="2"/>
          </rPr>
          <t>Myers, Corey Adam:</t>
        </r>
        <r>
          <rPr>
            <sz val="9"/>
            <color indexed="81"/>
            <rFont val="Tahoma"/>
            <family val="2"/>
          </rPr>
          <t xml:space="preserve">
Reference 59</t>
        </r>
      </text>
    </comment>
    <comment ref="B883" authorId="0" shapeId="0" xr:uid="{27FA39DC-222F-4FF8-8B16-36A8A78041C3}">
      <text>
        <r>
          <rPr>
            <b/>
            <sz val="9"/>
            <color indexed="81"/>
            <rFont val="Tahoma"/>
            <family val="2"/>
          </rPr>
          <t>Myers, Corey Adam:</t>
        </r>
        <r>
          <rPr>
            <sz val="9"/>
            <color indexed="81"/>
            <rFont val="Tahoma"/>
            <family val="2"/>
          </rPr>
          <t xml:space="preserve">
Calculated from Reference 60.</t>
        </r>
      </text>
    </comment>
    <comment ref="A896" authorId="0" shapeId="0" xr:uid="{FB02C86B-4035-4B57-9CCD-5493D4DDCE56}">
      <text>
        <r>
          <rPr>
            <b/>
            <sz val="9"/>
            <color indexed="81"/>
            <rFont val="Tahoma"/>
            <family val="2"/>
          </rPr>
          <t>Myers, Corey Adam:</t>
        </r>
        <r>
          <rPr>
            <sz val="9"/>
            <color indexed="81"/>
            <rFont val="Tahoma"/>
            <family val="2"/>
          </rPr>
          <t xml:space="preserve">
Reference 49.
Average over the period 1/3/2020-12/2/2022</t>
        </r>
      </text>
    </comment>
    <comment ref="B896" authorId="0" shapeId="0" xr:uid="{1BBB4140-5F9A-42DF-BCC3-C0F0E66783F4}">
      <text>
        <r>
          <rPr>
            <b/>
            <sz val="9"/>
            <color indexed="81"/>
            <rFont val="Tahoma"/>
            <family val="2"/>
          </rPr>
          <t>Myers, Corey Adam:</t>
        </r>
        <r>
          <rPr>
            <sz val="9"/>
            <color indexed="81"/>
            <rFont val="Tahoma"/>
            <family val="2"/>
          </rPr>
          <t xml:space="preserve">
accounts for congestion, interconnection time, etc.</t>
        </r>
      </text>
    </comment>
    <comment ref="F898" authorId="0" shapeId="0" xr:uid="{E86C3B99-2174-4BBD-A432-F33444522546}">
      <text>
        <r>
          <rPr>
            <b/>
            <sz val="9"/>
            <color indexed="81"/>
            <rFont val="Tahoma"/>
            <family val="2"/>
          </rPr>
          <t>Myers, Corey Adam:</t>
        </r>
        <r>
          <rPr>
            <sz val="9"/>
            <color indexed="81"/>
            <rFont val="Tahoma"/>
            <family val="2"/>
          </rPr>
          <t xml:space="preserve">
Reference 50 and 51.
Carrier-specific data estimated.
</t>
        </r>
      </text>
    </comment>
    <comment ref="G898" authorId="0" shapeId="0" xr:uid="{28552BDB-9BE5-49C0-AC70-6D8F96AE9594}">
      <text>
        <r>
          <rPr>
            <b/>
            <sz val="9"/>
            <color indexed="81"/>
            <rFont val="Tahoma"/>
            <family val="2"/>
          </rPr>
          <t>Myers, Corey Adam:</t>
        </r>
        <r>
          <rPr>
            <sz val="9"/>
            <color indexed="81"/>
            <rFont val="Tahoma"/>
            <family val="2"/>
          </rPr>
          <t xml:space="preserve">
Reference 51.
Deviation from average for STCC 2813: compressed and liquified industrial gases.
</t>
        </r>
      </text>
    </comment>
    <comment ref="H898" authorId="0" shapeId="0" xr:uid="{1D7131EC-8BFA-417B-91CF-EF56A6828A6E}">
      <text>
        <r>
          <rPr>
            <b/>
            <sz val="9"/>
            <color indexed="81"/>
            <rFont val="Tahoma"/>
            <family val="2"/>
          </rPr>
          <t>Myers, Corey Adam:</t>
        </r>
        <r>
          <rPr>
            <sz val="9"/>
            <color indexed="81"/>
            <rFont val="Tahoma"/>
            <family val="2"/>
          </rPr>
          <t xml:space="preserve">
Reference 46.
STCC 2813320
Excluding car type S342.</t>
        </r>
      </text>
    </comment>
    <comment ref="B923" authorId="0" shapeId="0" xr:uid="{19E79919-EF4B-47EC-81F4-0B0865ADAFC2}">
      <text>
        <r>
          <rPr>
            <b/>
            <sz val="9"/>
            <color indexed="81"/>
            <rFont val="Tahoma"/>
            <family val="2"/>
          </rPr>
          <t>Myers, Corey Adam:</t>
        </r>
        <r>
          <rPr>
            <sz val="9"/>
            <color indexed="81"/>
            <rFont val="Tahoma"/>
            <family val="2"/>
          </rPr>
          <t xml:space="preserve">
Reference 26
</t>
        </r>
      </text>
    </comment>
    <comment ref="B926" authorId="0" shapeId="0" xr:uid="{6AE61AB4-C322-4889-9BD9-7D718D95800E}">
      <text>
        <r>
          <rPr>
            <b/>
            <sz val="9"/>
            <color indexed="81"/>
            <rFont val="Tahoma"/>
            <family val="2"/>
          </rPr>
          <t>Myers, Corey Adam:</t>
        </r>
        <r>
          <rPr>
            <sz val="9"/>
            <color indexed="81"/>
            <rFont val="Tahoma"/>
            <family val="2"/>
          </rPr>
          <t xml:space="preserve">
Reference 27</t>
        </r>
      </text>
    </comment>
    <comment ref="A941" authorId="0" shapeId="0" xr:uid="{9082CF1F-3659-4E14-9BAF-70F9749F41EF}">
      <text>
        <r>
          <rPr>
            <b/>
            <sz val="9"/>
            <color indexed="81"/>
            <rFont val="Tahoma"/>
            <family val="2"/>
          </rPr>
          <t>Myers, Corey Adam:</t>
        </r>
        <r>
          <rPr>
            <sz val="9"/>
            <color indexed="81"/>
            <rFont val="Tahoma"/>
            <family val="2"/>
          </rPr>
          <t xml:space="preserve">
double-welded butt joint with spot radiographic examination</t>
        </r>
      </text>
    </comment>
    <comment ref="A942" authorId="0" shapeId="0" xr:uid="{9A61CD3E-1AC9-4D1F-AE01-8F5B67097C72}">
      <text>
        <r>
          <rPr>
            <b/>
            <sz val="9"/>
            <color indexed="81"/>
            <rFont val="Tahoma"/>
            <family val="2"/>
          </rPr>
          <t>Myers, Corey Adam:</t>
        </r>
        <r>
          <rPr>
            <sz val="9"/>
            <color indexed="81"/>
            <rFont val="Tahoma"/>
            <family val="2"/>
          </rPr>
          <t xml:space="preserve">
304 SS at 40 C.
Reference 40.</t>
        </r>
      </text>
    </comment>
    <comment ref="A963" authorId="0" shapeId="0" xr:uid="{9E6C2CC3-E88E-4888-B66F-DD85042C9AB5}">
      <text>
        <r>
          <rPr>
            <b/>
            <sz val="9"/>
            <color indexed="81"/>
            <rFont val="Tahoma"/>
            <family val="2"/>
          </rPr>
          <t>Myers, Corey Adam:</t>
        </r>
        <r>
          <rPr>
            <sz val="9"/>
            <color indexed="81"/>
            <rFont val="Tahoma"/>
            <family val="2"/>
          </rPr>
          <t xml:space="preserve">
Reference 7</t>
        </r>
      </text>
    </comment>
    <comment ref="E1029" authorId="0" shapeId="0" xr:uid="{5537482F-98EF-4CF5-B56F-E1B564640FFC}">
      <text>
        <r>
          <rPr>
            <b/>
            <sz val="9"/>
            <color indexed="81"/>
            <rFont val="Tahoma"/>
            <family val="2"/>
          </rPr>
          <t>Myers, Corey Adam:</t>
        </r>
        <r>
          <rPr>
            <sz val="9"/>
            <color indexed="81"/>
            <rFont val="Tahoma"/>
            <family val="2"/>
          </rPr>
          <t xml:space="preserve">
Reference 23,  25</t>
        </r>
      </text>
    </comment>
    <comment ref="A1083" authorId="0" shapeId="0" xr:uid="{7E0B4A10-4D4E-4D2F-B19F-A5F7745E2093}">
      <text>
        <r>
          <rPr>
            <b/>
            <sz val="9"/>
            <color indexed="81"/>
            <rFont val="Tahoma"/>
            <family val="2"/>
          </rPr>
          <t>Myers, Corey Adam:</t>
        </r>
        <r>
          <rPr>
            <sz val="9"/>
            <color indexed="81"/>
            <rFont val="Tahoma"/>
            <family val="2"/>
          </rPr>
          <t xml:space="preserve">
W27X178</t>
        </r>
      </text>
    </comment>
    <comment ref="A1089" authorId="0" shapeId="0" xr:uid="{D2EEFD7A-1B5F-42FE-9CA3-55A4D765819D}">
      <text>
        <r>
          <rPr>
            <b/>
            <sz val="9"/>
            <color indexed="81"/>
            <rFont val="Tahoma"/>
            <family val="2"/>
          </rPr>
          <t>Myers, Corey Adam:</t>
        </r>
        <r>
          <rPr>
            <sz val="9"/>
            <color indexed="81"/>
            <rFont val="Tahoma"/>
            <family val="2"/>
          </rPr>
          <t xml:space="preserve">
Reference 25.
Line number: 02 41 16.13 0050</t>
        </r>
      </text>
    </comment>
    <comment ref="A1115" authorId="0" shapeId="0" xr:uid="{BE96AADA-1DD5-4758-BE65-8056FF1552A3}">
      <text>
        <r>
          <rPr>
            <b/>
            <sz val="9"/>
            <color indexed="81"/>
            <rFont val="Tahoma"/>
            <family val="2"/>
          </rPr>
          <t>Myers, Corey Adam:</t>
        </r>
        <r>
          <rPr>
            <sz val="9"/>
            <color indexed="81"/>
            <rFont val="Tahoma"/>
            <family val="2"/>
          </rPr>
          <t xml:space="preserve">
Reference 7 and 44</t>
        </r>
      </text>
    </comment>
    <comment ref="A1121" authorId="0" shapeId="0" xr:uid="{9879AC24-11C0-4994-9082-8B35D3358498}">
      <text>
        <r>
          <rPr>
            <b/>
            <sz val="9"/>
            <color indexed="81"/>
            <rFont val="Tahoma"/>
            <family val="2"/>
          </rPr>
          <t>Myers, Corey Adam:</t>
        </r>
        <r>
          <rPr>
            <sz val="9"/>
            <color indexed="81"/>
            <rFont val="Tahoma"/>
            <family val="2"/>
          </rPr>
          <t xml:space="preserve">
Reference 7 and 44</t>
        </r>
      </text>
    </comment>
    <comment ref="A1169" authorId="0" shapeId="0" xr:uid="{603F8A3C-09D8-4792-8DAD-A6B430B2F664}">
      <text>
        <r>
          <rPr>
            <b/>
            <sz val="9"/>
            <color indexed="81"/>
            <rFont val="Tahoma"/>
            <family val="2"/>
          </rPr>
          <t>Myers, Corey Adam:</t>
        </r>
        <r>
          <rPr>
            <sz val="9"/>
            <color indexed="81"/>
            <rFont val="Tahoma"/>
            <family val="2"/>
          </rPr>
          <t xml:space="preserve">
Refrence 55</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<sst xmlns="http://schemas.openxmlformats.org/spreadsheetml/2006/main" count="2288" uniqueCount="1209">
  <si>
    <t>kg/L</t>
  </si>
  <si>
    <t>L/gal</t>
  </si>
  <si>
    <t>t</t>
  </si>
  <si>
    <t>$/y</t>
  </si>
  <si>
    <t>h/y</t>
  </si>
  <si>
    <t>$/h</t>
  </si>
  <si>
    <t>CAPEX</t>
  </si>
  <si>
    <t>CO2 mass</t>
  </si>
  <si>
    <t>mi</t>
  </si>
  <si>
    <t>y</t>
  </si>
  <si>
    <t>h</t>
  </si>
  <si>
    <t>km/mi</t>
  </si>
  <si>
    <t>lbs</t>
  </si>
  <si>
    <t>lbs/kg</t>
  </si>
  <si>
    <t>Fuel</t>
  </si>
  <si>
    <t>Maintenance</t>
  </si>
  <si>
    <t>Insurance</t>
  </si>
  <si>
    <t>Tires</t>
  </si>
  <si>
    <t>Tolls</t>
  </si>
  <si>
    <t>Injection rate</t>
  </si>
  <si>
    <t>kt-CO2/y</t>
  </si>
  <si>
    <t>t-CO2</t>
  </si>
  <si>
    <t>t-CO2/h</t>
  </si>
  <si>
    <t>Fill rate</t>
  </si>
  <si>
    <t>kg/s</t>
  </si>
  <si>
    <t>Fill time</t>
  </si>
  <si>
    <t>kg-CO2/s</t>
  </si>
  <si>
    <t>m2</t>
  </si>
  <si>
    <t>m3</t>
  </si>
  <si>
    <t>CO2 condition</t>
  </si>
  <si>
    <t>kg/m3</t>
  </si>
  <si>
    <t>C</t>
  </si>
  <si>
    <t>min</t>
  </si>
  <si>
    <t>#/y</t>
  </si>
  <si>
    <t>Discharge rate</t>
  </si>
  <si>
    <t>kg/h</t>
  </si>
  <si>
    <t>m</t>
  </si>
  <si>
    <t>NA</t>
  </si>
  <si>
    <t>#</t>
  </si>
  <si>
    <t>Drivers</t>
  </si>
  <si>
    <t>m3/ft3</t>
  </si>
  <si>
    <t>slope</t>
  </si>
  <si>
    <t>intercept</t>
  </si>
  <si>
    <t>t-CO2/y</t>
  </si>
  <si>
    <t>kg</t>
  </si>
  <si>
    <t>Total</t>
  </si>
  <si>
    <t>USD/t-CO2</t>
  </si>
  <si>
    <t>Truck</t>
  </si>
  <si>
    <t>Distance (mi)</t>
  </si>
  <si>
    <t>Intermodal</t>
  </si>
  <si>
    <t>Average</t>
  </si>
  <si>
    <t>Intermodal capacity</t>
  </si>
  <si>
    <t>m2/acre</t>
  </si>
  <si>
    <t>Land cost</t>
  </si>
  <si>
    <t>Operation period</t>
  </si>
  <si>
    <t>Total injected</t>
  </si>
  <si>
    <t>Building footprint</t>
  </si>
  <si>
    <t>Building height</t>
  </si>
  <si>
    <t>mm</t>
  </si>
  <si>
    <t>kWh/t-CO2</t>
  </si>
  <si>
    <t>g-CO2/kWh</t>
  </si>
  <si>
    <t>Reconditioning energy</t>
  </si>
  <si>
    <t>Labor</t>
  </si>
  <si>
    <t>Year</t>
  </si>
  <si>
    <t>Cost</t>
  </si>
  <si>
    <t>Concrete pad thickness</t>
  </si>
  <si>
    <t>ft</t>
  </si>
  <si>
    <t>Concrete density</t>
  </si>
  <si>
    <t>Concrete quantity</t>
  </si>
  <si>
    <t>year</t>
  </si>
  <si>
    <t>Value</t>
  </si>
  <si>
    <t>each</t>
  </si>
  <si>
    <t>bar</t>
  </si>
  <si>
    <t>d</t>
  </si>
  <si>
    <t>MPa</t>
  </si>
  <si>
    <t>Location</t>
  </si>
  <si>
    <t>a</t>
  </si>
  <si>
    <t>b</t>
  </si>
  <si>
    <t>S</t>
  </si>
  <si>
    <t>n</t>
  </si>
  <si>
    <t>Installation factors</t>
  </si>
  <si>
    <t>piping</t>
  </si>
  <si>
    <t>equipment errection</t>
  </si>
  <si>
    <t>electrical work</t>
  </si>
  <si>
    <t>instrumentation and process control</t>
  </si>
  <si>
    <t>civil engineering</t>
  </si>
  <si>
    <t>structures and buildings</t>
  </si>
  <si>
    <t>insulation, paint, etc.</t>
  </si>
  <si>
    <t>internal pressure min thickness</t>
  </si>
  <si>
    <t>Weld efficiency</t>
  </si>
  <si>
    <t>Max allowable stress</t>
  </si>
  <si>
    <t>m, ASME BPV Code Sec. VIII D.1 Part UG-27</t>
  </si>
  <si>
    <t>longitudinal stress</t>
  </si>
  <si>
    <t>Average inflation rate</t>
  </si>
  <si>
    <t>Mt-CO2/y</t>
  </si>
  <si>
    <t>Start year</t>
  </si>
  <si>
    <t>Rail car unloading tower</t>
  </si>
  <si>
    <t>Unloading package (pumps, compressors, valves, etc.)</t>
  </si>
  <si>
    <t>Injection package</t>
  </si>
  <si>
    <t>Tower</t>
  </si>
  <si>
    <t>US Steel CO2 intensity</t>
  </si>
  <si>
    <t>Max loading of tank</t>
  </si>
  <si>
    <t>m/ft</t>
  </si>
  <si>
    <t>Trucks</t>
  </si>
  <si>
    <t>Size (kt-CO2/y)</t>
  </si>
  <si>
    <t>Liquefaction equipment</t>
  </si>
  <si>
    <t>OPEX</t>
  </si>
  <si>
    <t>FINEX</t>
  </si>
  <si>
    <t>Summary</t>
  </si>
  <si>
    <t>Annual Average CO2 Mass Flow Rate (qav)</t>
  </si>
  <si>
    <t>Key Outputs</t>
  </si>
  <si>
    <t>Net Present Value (NPV) of Cash to Owners</t>
  </si>
  <si>
    <t>Rate of Return on Weighted Debt and Equity</t>
  </si>
  <si>
    <t>Capital Costs</t>
  </si>
  <si>
    <t>Operating Expenses</t>
  </si>
  <si>
    <t>Revenues</t>
  </si>
  <si>
    <t>Inputs</t>
  </si>
  <si>
    <t>Category</t>
  </si>
  <si>
    <t>Unit</t>
  </si>
  <si>
    <t>Note</t>
  </si>
  <si>
    <t>Financial Inputs</t>
  </si>
  <si>
    <t>Capitalization (fequity)</t>
  </si>
  <si>
    <t>Cost of Equity (minimum internal rate of return on equity or IRROEmin)</t>
  </si>
  <si>
    <t>/yr</t>
  </si>
  <si>
    <t>Cost of Debt (id)</t>
  </si>
  <si>
    <t>Tax Rate (rtax)</t>
  </si>
  <si>
    <t>Project Contingency Factor</t>
  </si>
  <si>
    <t>Depreciation method - recovery period for depreciation</t>
  </si>
  <si>
    <t>Tax affected cost of debt (idtax)</t>
  </si>
  <si>
    <t>Weighted average cost of capital (WACC)</t>
  </si>
  <si>
    <t>Base year for capital and O&amp;M costs</t>
  </si>
  <si>
    <t>Starting Calendar Year for Project</t>
  </si>
  <si>
    <t>Duration of Construction in years</t>
  </si>
  <si>
    <t>years</t>
  </si>
  <si>
    <t>Duration of Operation in years</t>
  </si>
  <si>
    <t>Starting Project Year for Operations</t>
  </si>
  <si>
    <t>year number</t>
  </si>
  <si>
    <t>Ending Project Year for Operations</t>
  </si>
  <si>
    <t>Last Project Year for Depreciation</t>
  </si>
  <si>
    <t>Last Project Year for Lending</t>
  </si>
  <si>
    <t>Other Quantities and Inputs</t>
  </si>
  <si>
    <t>tonne/yr</t>
  </si>
  <si>
    <t>Engineering Cost Inputs</t>
  </si>
  <si>
    <t>Total capital expenses (before contingencies)</t>
  </si>
  <si>
    <t>Real Annual Costs</t>
  </si>
  <si>
    <t>Total annual operating expenses</t>
  </si>
  <si>
    <t>Escalation and Discounting Factors</t>
  </si>
  <si>
    <t>Calendar Year</t>
  </si>
  <si>
    <t>Project Year</t>
  </si>
  <si>
    <t>Factor for dividing escal. quantities to yield pres. value using WACC</t>
  </si>
  <si>
    <t>Operating Expenses, Capital Expenses and Depreciation and Amortization</t>
  </si>
  <si>
    <t>Contingency</t>
  </si>
  <si>
    <t>Project Expenses (operating expenses or Opex) in escalated $</t>
  </si>
  <si>
    <t>Escalated and Discounted Costs (only used for reporting purposes)</t>
  </si>
  <si>
    <t>Total Investment (capital expenses or Capex) in present value $</t>
  </si>
  <si>
    <t>Project Expenses (operating expenses or Opex) in present value $</t>
  </si>
  <si>
    <t xml:space="preserve">Depreciation </t>
  </si>
  <si>
    <t>Operating Period</t>
  </si>
  <si>
    <t>CO2 Price in $/tonne</t>
  </si>
  <si>
    <t>Revenues from Transporting CO2 in escalated $</t>
  </si>
  <si>
    <t>Revenues from Transporting CO2 in present value $</t>
  </si>
  <si>
    <t>Discounted Cash Flow for Levelized Capital Structure</t>
  </si>
  <si>
    <t>Depreciation in escalated $</t>
  </si>
  <si>
    <t>Tax Basis Earnings Before Interest and Taxes (EBIT) in escalated $</t>
  </si>
  <si>
    <t>Taxes paid in escalated $</t>
  </si>
  <si>
    <t>Capex in escalated $</t>
  </si>
  <si>
    <t>Earnings Before Interest and After Taxes in escalated $</t>
  </si>
  <si>
    <t>Change in Net Working Capital in escalated $ (always zero)</t>
  </si>
  <si>
    <t>Free Cash Flow in escalated $</t>
  </si>
  <si>
    <t>Free Cash Flow in present value $ (discounted using WACC)</t>
  </si>
  <si>
    <t xml:space="preserve">*Real$ refers to a real or constant dollar analysis where the assumption is that after inflation has been factored out of costs and revenues, unit costs and revenues do not change from year to year (i.e., they are constant). </t>
  </si>
  <si>
    <t>Price for transport</t>
  </si>
  <si>
    <t>Electricity</t>
  </si>
  <si>
    <t>Depreciation factors</t>
  </si>
  <si>
    <t>Total Capital Costs before operations begin</t>
  </si>
  <si>
    <t>Liquefaction</t>
  </si>
  <si>
    <t>&lt;-- NPV for project</t>
  </si>
  <si>
    <t>Percent in Year --&gt;</t>
  </si>
  <si>
    <t>Target IRR</t>
  </si>
  <si>
    <t>IRR</t>
  </si>
  <si>
    <t>kW</t>
  </si>
  <si>
    <t>Inlet pressure</t>
  </si>
  <si>
    <t>Pressure ratio</t>
  </si>
  <si>
    <t>Recirculation</t>
  </si>
  <si>
    <t>Compression 1</t>
  </si>
  <si>
    <t>Compression 2</t>
  </si>
  <si>
    <t>Compression 3</t>
  </si>
  <si>
    <t>Compression 4</t>
  </si>
  <si>
    <t>Refrigeration 1</t>
  </si>
  <si>
    <t>Refrigeration 2</t>
  </si>
  <si>
    <t>Outlet pressure</t>
  </si>
  <si>
    <t>Power (kW)</t>
  </si>
  <si>
    <t>Calculated</t>
  </si>
  <si>
    <t>Public projects</t>
  </si>
  <si>
    <t>Public-Private-Partnership</t>
  </si>
  <si>
    <t>Industrial goods</t>
  </si>
  <si>
    <t>Machinary</t>
  </si>
  <si>
    <t>Contruction</t>
  </si>
  <si>
    <t>Railroads</t>
  </si>
  <si>
    <t>Trucking</t>
  </si>
  <si>
    <t>Pipeline</t>
  </si>
  <si>
    <t>Midwest</t>
  </si>
  <si>
    <t>USA</t>
  </si>
  <si>
    <t>Louisiana</t>
  </si>
  <si>
    <t>Mississippi</t>
  </si>
  <si>
    <t>Texas</t>
  </si>
  <si>
    <t>Indiana</t>
  </si>
  <si>
    <t>Illinois</t>
  </si>
  <si>
    <t>Iowa</t>
  </si>
  <si>
    <t>Flowrate</t>
  </si>
  <si>
    <t>Reconditioning equipment</t>
  </si>
  <si>
    <t>Liquefaction energy</t>
  </si>
  <si>
    <t>Reconditioning heating</t>
  </si>
  <si>
    <t>Reconditioning pumping</t>
  </si>
  <si>
    <t>ft2/acre</t>
  </si>
  <si>
    <t>ft2/yd2</t>
  </si>
  <si>
    <t>d/y</t>
  </si>
  <si>
    <t>Component</t>
  </si>
  <si>
    <t>Quantity</t>
  </si>
  <si>
    <t>units</t>
  </si>
  <si>
    <t>Unit cost</t>
  </si>
  <si>
    <t>Site clearing</t>
  </si>
  <si>
    <t>Site earthwork</t>
  </si>
  <si>
    <t>Enclosed storage</t>
  </si>
  <si>
    <t>Employee parking</t>
  </si>
  <si>
    <t>Office</t>
  </si>
  <si>
    <t>Loading dock</t>
  </si>
  <si>
    <t>Pavement under loaded trucks</t>
  </si>
  <si>
    <t>Truck scales</t>
  </si>
  <si>
    <t>forklift</t>
  </si>
  <si>
    <t>air compressor</t>
  </si>
  <si>
    <t>truck footprint</t>
  </si>
  <si>
    <t>site footprint</t>
  </si>
  <si>
    <t>total footprint utilization</t>
  </si>
  <si>
    <t>$/m2</t>
  </si>
  <si>
    <t>ft3/yd3</t>
  </si>
  <si>
    <t>m3/yd3</t>
  </si>
  <si>
    <t>m2/ft2</t>
  </si>
  <si>
    <t>m2/yd2</t>
  </si>
  <si>
    <t>Tanker</t>
  </si>
  <si>
    <t>Arrival frequency</t>
  </si>
  <si>
    <t>minutes between trucks</t>
  </si>
  <si>
    <t>Changeout time</t>
  </si>
  <si>
    <t>Loading docks needed</t>
  </si>
  <si>
    <t>Land acquisition</t>
  </si>
  <si>
    <t>Metal CO2</t>
  </si>
  <si>
    <t>reference year</t>
  </si>
  <si>
    <t>California</t>
  </si>
  <si>
    <t>Compression power (MW)</t>
  </si>
  <si>
    <t>CO2 compression train (MW)</t>
  </si>
  <si>
    <t>Recirculation compressor (MW)</t>
  </si>
  <si>
    <t>NH3 cycle 1st compressor (MW)</t>
  </si>
  <si>
    <t>NH3 cycle 2nd compressor (MW)</t>
  </si>
  <si>
    <t>Cooling duty (MW)</t>
  </si>
  <si>
    <t>Precooler (MW)</t>
  </si>
  <si>
    <t>Liquefier (MW)</t>
  </si>
  <si>
    <t>NH3 cycle intercooler (MW)</t>
  </si>
  <si>
    <t>NH3 cycle main heat exchanger (MW)</t>
  </si>
  <si>
    <t>Recirculated mass flowrate (kg/s)</t>
  </si>
  <si>
    <t>Stored liquid density (kg/m3)</t>
  </si>
  <si>
    <t>Stored liquid mass flowrate (kg/s)</t>
  </si>
  <si>
    <t>Power increase per stage</t>
  </si>
  <si>
    <t>Liquid pressure</t>
  </si>
  <si>
    <t>compression chain stages</t>
  </si>
  <si>
    <t>Compression chain power</t>
  </si>
  <si>
    <t>Compression 1st stage power</t>
  </si>
  <si>
    <t>Coefficient A</t>
  </si>
  <si>
    <t>Coefficient B</t>
  </si>
  <si>
    <t>Coefficient C</t>
  </si>
  <si>
    <t>Pressure (bar)</t>
  </si>
  <si>
    <t>Area (m2)</t>
  </si>
  <si>
    <t>Specific area (m2/(kg/s))</t>
  </si>
  <si>
    <t>Compression chain</t>
  </si>
  <si>
    <t>HX1</t>
  </si>
  <si>
    <t>HX2</t>
  </si>
  <si>
    <t>Refrigeration</t>
  </si>
  <si>
    <t>Intercooler</t>
  </si>
  <si>
    <t>Main HX</t>
  </si>
  <si>
    <t>Precooler</t>
  </si>
  <si>
    <t>Liquefier</t>
  </si>
  <si>
    <t>Liquid volume</t>
  </si>
  <si>
    <t>Volume (m3)</t>
  </si>
  <si>
    <t>Flowrate adjustment</t>
  </si>
  <si>
    <t>Actual area (m2)</t>
  </si>
  <si>
    <t>Escalated Costs</t>
  </si>
  <si>
    <t>Total Investment (capital expenses or Capex) in escalated $</t>
  </si>
  <si>
    <t>Total Capital Costs in escalated dollars</t>
  </si>
  <si>
    <t>dollars</t>
  </si>
  <si>
    <t>Year for currency</t>
  </si>
  <si>
    <t>of CAPEX/y</t>
  </si>
  <si>
    <t>https://doi.org/10.1016/j.ijggc.2020.103190</t>
  </si>
  <si>
    <t>exponential</t>
  </si>
  <si>
    <t>linear</t>
  </si>
  <si>
    <t>fitting type</t>
  </si>
  <si>
    <t>base value</t>
  </si>
  <si>
    <t>base capex</t>
  </si>
  <si>
    <t>Project scale</t>
  </si>
  <si>
    <t>Reconditioning CAPEX</t>
  </si>
  <si>
    <t>2017 euro</t>
  </si>
  <si>
    <t>Country</t>
  </si>
  <si>
    <t>https://fiscaldata.treasury.gov/datasets/treasury-reporting-rates-exchange/treasury-reporting-rates-of-exchange</t>
  </si>
  <si>
    <t>sigma</t>
  </si>
  <si>
    <t>Minimum buffer</t>
  </si>
  <si>
    <t>Travel distance</t>
  </si>
  <si>
    <t>Travel speed</t>
  </si>
  <si>
    <t>mi/h</t>
  </si>
  <si>
    <t>Major arterial std dev</t>
  </si>
  <si>
    <t>Deviation</t>
  </si>
  <si>
    <t>Detour ratio</t>
  </si>
  <si>
    <t>Detour distance</t>
  </si>
  <si>
    <t>Detour time</t>
  </si>
  <si>
    <t>Time between transfers</t>
  </si>
  <si>
    <t>East</t>
  </si>
  <si>
    <t>South Central</t>
  </si>
  <si>
    <t>Mountain</t>
  </si>
  <si>
    <t>Pacific</t>
  </si>
  <si>
    <t>Alabama</t>
  </si>
  <si>
    <t>Alaska</t>
  </si>
  <si>
    <t>Arizona</t>
  </si>
  <si>
    <t>Arkansas</t>
  </si>
  <si>
    <t>Colorado</t>
  </si>
  <si>
    <t>Connecticut</t>
  </si>
  <si>
    <t>Delaware</t>
  </si>
  <si>
    <t>Florida</t>
  </si>
  <si>
    <t>Georgia</t>
  </si>
  <si>
    <t>Hawaii</t>
  </si>
  <si>
    <t>Idaho</t>
  </si>
  <si>
    <t>Kansas</t>
  </si>
  <si>
    <t>Kentucky</t>
  </si>
  <si>
    <t>Maine</t>
  </si>
  <si>
    <t>Maryland</t>
  </si>
  <si>
    <t>Massachusetts</t>
  </si>
  <si>
    <t>Michigan</t>
  </si>
  <si>
    <t>Minnesota</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</si>
  <si>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</si>
  <si>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</si>
  <si>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</si>
  <si>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</si>
  <si>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</si>
  <si>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</si>
  <si>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</si>
  <si>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</si>
  <si>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</si>
  <si>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</si>
  <si>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</si>
  <si>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</si>
  <si>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</si>
  <si>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</si>
  <si>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</si>
  <si>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</si>
  <si>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</si>
  <si>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</si>
  <si>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Utah</t>
  </si>
  <si>
    <t>Vermont</t>
  </si>
  <si>
    <t>Virginia</t>
  </si>
  <si>
    <t>Washington</t>
  </si>
  <si>
    <t>West Virginia</t>
  </si>
  <si>
    <t>Wisconsin</t>
  </si>
  <si>
    <t>Wyoming</t>
  </si>
  <si>
    <t>State</t>
  </si>
  <si>
    <t>Region</t>
  </si>
  <si>
    <t>Regional</t>
  </si>
  <si>
    <t>Injection Rate (kt-CO2/y)</t>
  </si>
  <si>
    <t>Container type</t>
  </si>
  <si>
    <t>Transport Mode</t>
  </si>
  <si>
    <t>Rail</t>
  </si>
  <si>
    <t>Construction period (y)</t>
  </si>
  <si>
    <t>Container Type</t>
  </si>
  <si>
    <t>Construction Period (y)</t>
  </si>
  <si>
    <t>Operating Period (y)</t>
  </si>
  <si>
    <t>National</t>
  </si>
  <si>
    <t>Other</t>
  </si>
  <si>
    <t>Flat IRR</t>
  </si>
  <si>
    <t>Depreciation Period (y)</t>
  </si>
  <si>
    <r>
      <rPr>
        <sz val="14"/>
        <color theme="1"/>
        <rFont val="Calibri"/>
        <family val="2"/>
      </rPr>
      <t>€</t>
    </r>
    <r>
      <rPr>
        <sz val="14"/>
        <color theme="1"/>
        <rFont val="Calibri"/>
        <family val="2"/>
        <charset val="128"/>
        <scheme val="minor"/>
      </rPr>
      <t>/USD</t>
    </r>
  </si>
  <si>
    <t>Weighted average</t>
  </si>
  <si>
    <t>State, Regional, &amp; National Data</t>
  </si>
  <si>
    <t>User selection</t>
  </si>
  <si>
    <t>Location Installation Factor</t>
  </si>
  <si>
    <t>Electricity Source</t>
  </si>
  <si>
    <t>Geographical Scale</t>
  </si>
  <si>
    <t>Grid</t>
  </si>
  <si>
    <t>User supplied</t>
  </si>
  <si>
    <t>Linear Reduction</t>
  </si>
  <si>
    <t>Net Zero Year</t>
  </si>
  <si>
    <t>Ignore</t>
  </si>
  <si>
    <t>Grid Decarbonization</t>
  </si>
  <si>
    <t>Operations start after Net Zero?</t>
  </si>
  <si>
    <t>Net Zero occurs during operations?</t>
  </si>
  <si>
    <t>Project Electricity CO2 Intensity</t>
  </si>
  <si>
    <t>Grid decarbonization considered?</t>
  </si>
  <si>
    <t>First Operating Year</t>
  </si>
  <si>
    <t>Last Operating Year</t>
  </si>
  <si>
    <t>Decarbonization rate</t>
  </si>
  <si>
    <t>g-CO2/(kWh*y)</t>
  </si>
  <si>
    <t>Starting grid CO2 intensity</t>
  </si>
  <si>
    <t>Final grid CO2 intensity</t>
  </si>
  <si>
    <t>Operating period with emissions</t>
  </si>
  <si>
    <t>Electricity CO2 Intensity (lb-CO2/MWh)</t>
  </si>
  <si>
    <t>Electricity Generation (MWh)</t>
  </si>
  <si>
    <t>Average Temperature (C)</t>
  </si>
  <si>
    <t>Land Area (km2)</t>
  </si>
  <si>
    <t>K</t>
  </si>
  <si>
    <t>Driver Salary</t>
  </si>
  <si>
    <t>Driver #</t>
  </si>
  <si>
    <t>Crane Operator Salary</t>
  </si>
  <si>
    <t>Crane Operator #</t>
  </si>
  <si>
    <t>Gas Compressor Operator Salary</t>
  </si>
  <si>
    <t>Gas Compressor Operator #</t>
  </si>
  <si>
    <t>Pump Operator Salary</t>
  </si>
  <si>
    <t>Pump Operator #</t>
  </si>
  <si>
    <t>Liquefaction/Reconditioning Operator Salary</t>
  </si>
  <si>
    <t>Average Temperature</t>
  </si>
  <si>
    <t>Driver Cost</t>
  </si>
  <si>
    <t>Crane Operator Cost</t>
  </si>
  <si>
    <t>Liquefaction/Reconditioning Operator Cost</t>
  </si>
  <si>
    <t>LCO2 Transfer Operator Cost</t>
  </si>
  <si>
    <t>Full time employee hours</t>
  </si>
  <si>
    <t>annual</t>
  </si>
  <si>
    <t>References</t>
  </si>
  <si>
    <t>Towler, Gavin, and Ray Sinnott. Chemical engineering design: principles, practice and economics of plant and process design. Butterworth-Heinemann, 2021.</t>
  </si>
  <si>
    <t>The Macroeconomic and Budgetary Effects of Federal Investment, CBO</t>
  </si>
  <si>
    <t>Infrastructure and Investors Survey 2013, Delloitte.</t>
  </si>
  <si>
    <t>The WACC User's Guide, Justin Petit</t>
  </si>
  <si>
    <t>https://pages.stern.nyu.edu/~adamodar/New_Home_Page/datafile/wacc.html</t>
  </si>
  <si>
    <t>https://ir.eia.gov/ngs/notes.html</t>
  </si>
  <si>
    <t>https://www.eia.gov/electricity/state/</t>
  </si>
  <si>
    <t xml:space="preserve">https://www.ncei.noaa.gov/access/monitoring/climate-at-a-glance/statewide/time-series </t>
  </si>
  <si>
    <t>https://beta.bls.gov/dataQuery/find?st=0&amp;r=100&amp;s=popularity%3AD&amp;more=0</t>
  </si>
  <si>
    <t>Bureau of Labor Statistics. EMPLOYER COSTS FOR EMPLOYEE COMPENSATION – JUNE 2023.</t>
  </si>
  <si>
    <t>Received Temperature</t>
  </si>
  <si>
    <t>Received Pressure</t>
  </si>
  <si>
    <t>LCO2 Temperature</t>
  </si>
  <si>
    <t>LCO2 Pressure</t>
  </si>
  <si>
    <t>Injection Temperature</t>
  </si>
  <si>
    <t>Injection Pressue</t>
  </si>
  <si>
    <t>LCO2 Density</t>
  </si>
  <si>
    <t>Average Operating Speed (mph)</t>
  </si>
  <si>
    <t>Average Speed (mph)</t>
  </si>
  <si>
    <t>US Department of Transportation, Federal Highway Administration. "Freight Facts and Figures 2010". https://ops.fhwa.dot.gov/freight/freight_analysis/nat_freight_stats/docs/10factsfigures/index.htm</t>
  </si>
  <si>
    <t>Transport Overhead rate</t>
  </si>
  <si>
    <t>Production Overhead rate</t>
  </si>
  <si>
    <t>Intermediate Storage</t>
  </si>
  <si>
    <t>Long haul solution</t>
  </si>
  <si>
    <t>Two drivers</t>
  </si>
  <si>
    <t>Highway Diesel Cost ($/gal)</t>
  </si>
  <si>
    <t>US Energy and Information Administration, Petroleum and Other Liquids. https://www.eia.gov/dnav/pet/pet_pri_gnd_dcus_nus_a.htm</t>
  </si>
  <si>
    <t>Electricity Cost ($/kWh)</t>
  </si>
  <si>
    <t>US Energy and Information Administration, Electricity Data Browswer. https://www.eia.gov/electricity/data/browser/#/topic/7?agg=0,1&amp;geo=g&amp;endsec=m&amp;linechart=~~ELEC.PRICE.US-IND.A&amp;columnchart=ELEC.PRICE.US-ALL.A&amp;map=ELEC.PRICE.US-ALL.A&amp;freq=A&amp;start=2001&amp;end=2022&amp;ctype=linechart&amp;ltype=pin&amp;rtype=s&amp;maptype=0&amp;rse=0&amp;pin=</t>
  </si>
  <si>
    <t>Electricity Cost</t>
  </si>
  <si>
    <t>$/kWh</t>
  </si>
  <si>
    <t>US Environmental Protection Agency, Greenhouse Gas Emissions and Fuel Efficiency Standards for Medium- and Heavy-Duty Engines and Vehicles—Phase 2</t>
  </si>
  <si>
    <t>Day Cab</t>
  </si>
  <si>
    <t>Sleeper Cab</t>
  </si>
  <si>
    <t>Fuel Consumption</t>
  </si>
  <si>
    <t>gal/(t*mi)</t>
  </si>
  <si>
    <t>ton/t</t>
  </si>
  <si>
    <t>EPA Phase 3 end year</t>
  </si>
  <si>
    <t>Operations start after Phase 3?</t>
  </si>
  <si>
    <t>Phase 3 ends during operations?</t>
  </si>
  <si>
    <t>Years after Phase 3 ends</t>
  </si>
  <si>
    <t>Operation Period</t>
  </si>
  <si>
    <t>Project Fuel Consumption</t>
  </si>
  <si>
    <t>Inflation, currency conversions, PPI</t>
  </si>
  <si>
    <t>US Bureau of Labor Statistics, Producer Price Indexs. https://www.bls.gov/ppi/</t>
  </si>
  <si>
    <t>Regulatory constraints</t>
  </si>
  <si>
    <t>49 CFR 173.315</t>
  </si>
  <si>
    <t>mi/y</t>
  </si>
  <si>
    <t>No. 2 Diesel density</t>
  </si>
  <si>
    <t>Material Properties</t>
  </si>
  <si>
    <t>Transport Containers</t>
  </si>
  <si>
    <t>Rail Tanker</t>
  </si>
  <si>
    <t>Gross volume (m3)</t>
  </si>
  <si>
    <t>Useable volume (m3)</t>
  </si>
  <si>
    <t>Volume-limited CO2 mass (t)</t>
  </si>
  <si>
    <t>Truck mass (t)</t>
  </si>
  <si>
    <t>Container mass (t)</t>
  </si>
  <si>
    <t>Road weight limit (t)</t>
  </si>
  <si>
    <t>Intermodal Containers on Rail</t>
  </si>
  <si>
    <t>Intermodal Container on Truck</t>
  </si>
  <si>
    <t>Weight-limited CO2 mass over the road (t)</t>
  </si>
  <si>
    <t>Rail weight limit (t)</t>
  </si>
  <si>
    <t>Weight-limited CO2 mass over rail (t)</t>
  </si>
  <si>
    <t>CO2 transported per transport unit (t)</t>
  </si>
  <si>
    <t>Road weight limit</t>
  </si>
  <si>
    <t>23 C.F.R. Chapter I Part 658 – Truck size and weight, route designations – Length, width, and weight limitations</t>
  </si>
  <si>
    <t>V1</t>
  </si>
  <si>
    <t>F1</t>
  </si>
  <si>
    <t>M1</t>
  </si>
  <si>
    <t>W1</t>
  </si>
  <si>
    <t>F2</t>
  </si>
  <si>
    <t>V2</t>
  </si>
  <si>
    <t>M2</t>
  </si>
  <si>
    <t>V3</t>
  </si>
  <si>
    <t>F3</t>
  </si>
  <si>
    <t>W2</t>
  </si>
  <si>
    <t>Cost (2024$)</t>
  </si>
  <si>
    <t>Weight breakdown</t>
  </si>
  <si>
    <t>Powertrain</t>
  </si>
  <si>
    <t>Mass (lbs)</t>
  </si>
  <si>
    <t>Truck body</t>
  </si>
  <si>
    <t>Drivetrain and suspension</t>
  </si>
  <si>
    <t>Chasis/Frame</t>
  </si>
  <si>
    <t>Wheels and tires</t>
  </si>
  <si>
    <t>Sleeper cab</t>
  </si>
  <si>
    <t>Miscellaneous</t>
  </si>
  <si>
    <t>National Academies of Sciences, Engineering, and Medicine. 2020. Reducing Fuel
Consumption and Greenhouse Gas Emissions of Medium- and Heavy-Duty Vehicles,
Phase Two: Final Report. Washington, DC: The National Academies Press.
https://doi.org/10.17226/25542.</t>
  </si>
  <si>
    <t>National Research Council. 2014. Reducing the Fuel Consumption and Greenhouse
Gas Emissions of Medium- and Heavy-Duty Vehicles, Phase Two: First Report.
Washington, DC: The National Academies Press. https://doi.org/10.17226/18736.</t>
  </si>
  <si>
    <t>Total Tractor</t>
  </si>
  <si>
    <t>Total Trailer</t>
  </si>
  <si>
    <t>Total Sleeper Tractor</t>
  </si>
  <si>
    <t>Trailer mass (t)</t>
  </si>
  <si>
    <t>Intermodal Container on Sleeper Truck</t>
  </si>
  <si>
    <t>Mass (t)</t>
  </si>
  <si>
    <t>Tanker Truck</t>
  </si>
  <si>
    <t>150 gallons fuel</t>
  </si>
  <si>
    <t>CO2 per container</t>
  </si>
  <si>
    <t>Loaded weight</t>
  </si>
  <si>
    <t>CO2 transported per transport unit</t>
  </si>
  <si>
    <t>Unloaded weight</t>
  </si>
  <si>
    <t>Rail weight limit</t>
  </si>
  <si>
    <t>Nyman, Douglas J, Dracos, J Steve, and Varagani, Rajani. Carbon Dioxide Capture and Transportation Options in the Illinois Basin - Task 3: Assess Carbon Dioxide Transportation Options in the Illinois Basin. United States (2004). doi:10.2172/896976.</t>
  </si>
  <si>
    <t>Unit container cost</t>
  </si>
  <si>
    <t>State Sales Tax</t>
  </si>
  <si>
    <t>Cost per transport unit</t>
  </si>
  <si>
    <t>LCO2 Intermodal Container</t>
  </si>
  <si>
    <t>LCO2 Trailer</t>
  </si>
  <si>
    <t>Concrete CO2 intensity</t>
  </si>
  <si>
    <t>American Concrete Institute. ACI SPEC-301-20: Specifications for Concrete Construction (2020).</t>
  </si>
  <si>
    <t>Tractor Trailer Mass</t>
  </si>
  <si>
    <t>Overcapacity design</t>
  </si>
  <si>
    <t>Operational time</t>
  </si>
  <si>
    <t>Operational buffer</t>
  </si>
  <si>
    <t>Travel buffer</t>
  </si>
  <si>
    <t>https://doi.org/10.1016/j.trc.2018.09.012</t>
  </si>
  <si>
    <t>Detour speed</t>
  </si>
  <si>
    <t>De Leonardis, D., Huey, R., &amp; Green, J. (2018, March). National Traffic Speeds Survey III: 2015 (Report No. DOT HS 812 485). Washington, DC: National Highway Traffic Safety Administration.</t>
  </si>
  <si>
    <t>Buffer size</t>
  </si>
  <si>
    <t>Land value ($/acre)</t>
  </si>
  <si>
    <t>US Department of Agriculture, National Agricultural Statistics Service. Land Values 2023 Summary.</t>
  </si>
  <si>
    <t>CO2 Pressure (bar)</t>
  </si>
  <si>
    <t>Buffer Storage Requirement</t>
  </si>
  <si>
    <t>Boil Off Gas Rate</t>
  </si>
  <si>
    <t>Constants and Unit conversions</t>
  </si>
  <si>
    <t>Perlite Thermal Conductivity</t>
  </si>
  <si>
    <t>Polyeurethane Thermal Conductivity</t>
  </si>
  <si>
    <t>Air Thermal Diffusivity</t>
  </si>
  <si>
    <t>Air Kinematic Viscosity</t>
  </si>
  <si>
    <t>Air Density</t>
  </si>
  <si>
    <t>Steffan-Boltzman Constant</t>
  </si>
  <si>
    <t>W/(m2*K4)</t>
  </si>
  <si>
    <t>W/(m*K)</t>
  </si>
  <si>
    <t>Carbon Steel Thermal Conducitivity (1% C)</t>
  </si>
  <si>
    <t>304L Stainless Steel Thermal Conductivity</t>
  </si>
  <si>
    <t>https://doi.org/10.1016/j.ijhydene.2022.11.130</t>
  </si>
  <si>
    <t>m2/s</t>
  </si>
  <si>
    <t>Air Prandtl Number</t>
  </si>
  <si>
    <t>Air Reynolds Number</t>
  </si>
  <si>
    <t>Truck speed</t>
  </si>
  <si>
    <t>s/h</t>
  </si>
  <si>
    <t>m/s</t>
  </si>
  <si>
    <t>Container Length</t>
  </si>
  <si>
    <t>Container length (m)</t>
  </si>
  <si>
    <t>-</t>
  </si>
  <si>
    <t>Air Thermal Conductivity</t>
  </si>
  <si>
    <t>W/(m2*K)</t>
  </si>
  <si>
    <t>External Surface Area</t>
  </si>
  <si>
    <t>External Surface Area (m2)</t>
  </si>
  <si>
    <t>K/W</t>
  </si>
  <si>
    <t>External Radius</t>
  </si>
  <si>
    <t>Insulation Thickness</t>
  </si>
  <si>
    <t>Insulation Thermal Conductivity</t>
  </si>
  <si>
    <t>Internal Temperature</t>
  </si>
  <si>
    <t>Heat Flow Rate</t>
  </si>
  <si>
    <t>W</t>
  </si>
  <si>
    <t>W/m2</t>
  </si>
  <si>
    <t>Container radius (m)</t>
  </si>
  <si>
    <t>Insulation Thermal Conductivity (W/(m*K))</t>
  </si>
  <si>
    <t>Insulation Thickness (m)</t>
  </si>
  <si>
    <t>15 U.S. Code § 206 - Standard gauge for sheet and plate iron and steel</t>
  </si>
  <si>
    <t>h/d</t>
  </si>
  <si>
    <t>J/(kg*K)</t>
  </si>
  <si>
    <t>K/s</t>
  </si>
  <si>
    <t>Heat up Rate</t>
  </si>
  <si>
    <t>Pressure Control Valve Vent Pressure</t>
  </si>
  <si>
    <t>psig</t>
  </si>
  <si>
    <t>psi/bar</t>
  </si>
  <si>
    <t>49 CFR 179.401-1 Individual specification requirements.</t>
  </si>
  <si>
    <t>Vent Pressure</t>
  </si>
  <si>
    <t>Time Until Vent</t>
  </si>
  <si>
    <t>Paint Emissivity</t>
  </si>
  <si>
    <t>Sky Temperature</t>
  </si>
  <si>
    <t>Clark, Eugene, and Paul Berdahl. "Radiative cooling: resource and applications." Sponsored and Developed by uS Department of Energy/. (1981): 219.</t>
  </si>
  <si>
    <t>Air Temperature</t>
  </si>
  <si>
    <t>Average Annual Direct Normal Irradiance (kWh/(m2*d))</t>
  </si>
  <si>
    <t>Direct Normal Irradiance</t>
  </si>
  <si>
    <t>Internal Tank Thickness</t>
  </si>
  <si>
    <t>External Tank Thickness</t>
  </si>
  <si>
    <t>Internal Tank Thickness (m)</t>
  </si>
  <si>
    <t>External Tank thickness (m)</t>
  </si>
  <si>
    <t>Air Convection Coefficient</t>
  </si>
  <si>
    <t>Conduction Resistance External Tank</t>
  </si>
  <si>
    <t>Conduction Resistance Insulation</t>
  </si>
  <si>
    <t>Conduction Resistance Internal Tank</t>
  </si>
  <si>
    <t>White Paint Adsorbtivity</t>
  </si>
  <si>
    <t>CO2 Enthalpy of Vaporization</t>
  </si>
  <si>
    <t>kJ/mol</t>
  </si>
  <si>
    <t>https://doi.org/10.1007/978-94-009-3173-2</t>
  </si>
  <si>
    <t>CO2 Vaporization Rate</t>
  </si>
  <si>
    <t>CO2 Molecular Weight</t>
  </si>
  <si>
    <t>g/mol</t>
  </si>
  <si>
    <t>Steady State Surface Temperature</t>
  </si>
  <si>
    <t>Absorbed Irradiance</t>
  </si>
  <si>
    <t>Air Emissivity</t>
  </si>
  <si>
    <t>Convective Transfer</t>
  </si>
  <si>
    <t>Emitted Radiation</t>
  </si>
  <si>
    <t>Heat Balance</t>
  </si>
  <si>
    <t>https://www.nrel.gov/gis/solar-resource-maps.html</t>
  </si>
  <si>
    <t>Journal of Physical and Chemical Reference Data 14, 227 (1985); https://doi.org/10.1063/1.555749</t>
  </si>
  <si>
    <t>Conductive Transfer</t>
  </si>
  <si>
    <t>Conductive Resistance Total</t>
  </si>
  <si>
    <t>K/h</t>
  </si>
  <si>
    <t>Refurbishment cost</t>
  </si>
  <si>
    <t>Resale value</t>
  </si>
  <si>
    <t>Recovered value</t>
  </si>
  <si>
    <t>CO2 Transfer</t>
  </si>
  <si>
    <t>Transfer number</t>
  </si>
  <si>
    <t>min/h</t>
  </si>
  <si>
    <t>s/min</t>
  </si>
  <si>
    <t>Drive up time</t>
  </si>
  <si>
    <t>Hook up time</t>
  </si>
  <si>
    <t>Unhook time</t>
  </si>
  <si>
    <t>Drive out time</t>
  </si>
  <si>
    <t>Filling hookup number</t>
  </si>
  <si>
    <t>Unfilling hookup number</t>
  </si>
  <si>
    <t>Interstate length (mi)</t>
  </si>
  <si>
    <t>Weigh Station Number</t>
  </si>
  <si>
    <t>US Department of Transportation, Federal Highway Administration, Office of Highway Policy Information. Highway Statistics, Table HM-41 Roadway Extent (2001).</t>
  </si>
  <si>
    <t>Weigh Station Frequency (#/mi)</t>
  </si>
  <si>
    <t>Transport Distance</t>
  </si>
  <si>
    <t>Weigh station number</t>
  </si>
  <si>
    <t>Weigh station time</t>
  </si>
  <si>
    <t>Time per weigh station</t>
  </si>
  <si>
    <t>Load time</t>
  </si>
  <si>
    <t>Total load time</t>
  </si>
  <si>
    <t>Total unload time</t>
  </si>
  <si>
    <t>Intermodal Container Truck</t>
  </si>
  <si>
    <t>Driver break every 8 hours</t>
  </si>
  <si>
    <t>Rail Intermodal Container</t>
  </si>
  <si>
    <t>Maximum one way distance</t>
  </si>
  <si>
    <t>Max driving time</t>
  </si>
  <si>
    <t>Max driver time</t>
  </si>
  <si>
    <t>49 C.F.R. Chapter III Part 395</t>
  </si>
  <si>
    <t>Transload facility number</t>
  </si>
  <si>
    <t>Transload time</t>
  </si>
  <si>
    <t>Unit transport rate</t>
  </si>
  <si>
    <t>Loaded time</t>
  </si>
  <si>
    <t>Unloaded time</t>
  </si>
  <si>
    <t>Transport units</t>
  </si>
  <si>
    <t>Annual trips</t>
  </si>
  <si>
    <t>Logistics</t>
  </si>
  <si>
    <t>Total loaded time</t>
  </si>
  <si>
    <t>#/(transport unit*y)</t>
  </si>
  <si>
    <t>One-way Driving time</t>
  </si>
  <si>
    <t>Loaders required</t>
  </si>
  <si>
    <t>Unloaders required</t>
  </si>
  <si>
    <t>Loaded distance</t>
  </si>
  <si>
    <t>Unloaded distance</t>
  </si>
  <si>
    <t>Driver</t>
  </si>
  <si>
    <t>Container filling/discharge (gas/liquid handling)</t>
  </si>
  <si>
    <t>Transload Wrangler</t>
  </si>
  <si>
    <t>Trailer Wrangler</t>
  </si>
  <si>
    <t>Unfill time</t>
  </si>
  <si>
    <t>Fillers required</t>
  </si>
  <si>
    <t>Unfillers required</t>
  </si>
  <si>
    <t>Trailer unhitch time</t>
  </si>
  <si>
    <t>Trailer hitch time</t>
  </si>
  <si>
    <t>Transload Trailer Wranglers required</t>
  </si>
  <si>
    <t>Gas/liquid handlers</t>
  </si>
  <si>
    <t>Crane operators</t>
  </si>
  <si>
    <t>Trailer Wranglers</t>
  </si>
  <si>
    <t>Total Boil Off Gas</t>
  </si>
  <si>
    <t>Loaded fuel consumption</t>
  </si>
  <si>
    <t>Unloaded fuel consumption</t>
  </si>
  <si>
    <t>Total fuel consumption</t>
  </si>
  <si>
    <t>Total fuel-related CO2</t>
  </si>
  <si>
    <t>Operational lifetime</t>
  </si>
  <si>
    <t>US EPA, Control of Air Pollution from New Motor Vehicles: Heavy-Duty Engine and Vehicle Standards: Overview Briefing of the Proposal (2022).</t>
  </si>
  <si>
    <t>Tractor Trailers Required</t>
  </si>
  <si>
    <t>psi</t>
  </si>
  <si>
    <t>ASME BPV Code Sec. II Part D</t>
  </si>
  <si>
    <t>Buffer Tank capacity</t>
  </si>
  <si>
    <t>Internal radius</t>
  </si>
  <si>
    <t>Straight wall height</t>
  </si>
  <si>
    <t>Buffer Tank gross capacity</t>
  </si>
  <si>
    <t>Buffer Tank Number</t>
  </si>
  <si>
    <t>Pressure Safety Factor</t>
  </si>
  <si>
    <t>Internal diameter</t>
  </si>
  <si>
    <t>Internal Tank thickness</t>
  </si>
  <si>
    <t>Inner tank straight wall volume</t>
  </si>
  <si>
    <t>Inner tank straight wall mass</t>
  </si>
  <si>
    <t>304L Stainless Steel Density</t>
  </si>
  <si>
    <t>Carbon Steel Density</t>
  </si>
  <si>
    <t>Insulation thickness</t>
  </si>
  <si>
    <t>Outer tank thickness</t>
  </si>
  <si>
    <t>Outer tank inner radius</t>
  </si>
  <si>
    <t>Outer tank straight wall volume</t>
  </si>
  <si>
    <t>Outer tank straight wall mass</t>
  </si>
  <si>
    <t>Buffer storage tank design</t>
  </si>
  <si>
    <t>Buffer storage tank cost</t>
  </si>
  <si>
    <t>2010 USD, Gulf Coast</t>
  </si>
  <si>
    <t>Inner, 304L pressure vessel, vertical</t>
  </si>
  <si>
    <t>Outer, carbon steel pressure vessel, vertical</t>
  </si>
  <si>
    <t>Filling Packing</t>
  </si>
  <si>
    <t>Unfilling Package</t>
  </si>
  <si>
    <t>2004 USD</t>
  </si>
  <si>
    <t>Transfer system</t>
  </si>
  <si>
    <t>2010 USD</t>
  </si>
  <si>
    <t>Installed cost</t>
  </si>
  <si>
    <t>Filling System Installed cost</t>
  </si>
  <si>
    <t>Unfilling System Installed cost</t>
  </si>
  <si>
    <t>Total Upstream Buffer Storage Cost</t>
  </si>
  <si>
    <t>Total Downstream Buffer Storage Cost</t>
  </si>
  <si>
    <t>Upstream Buffer Cost</t>
  </si>
  <si>
    <t>Downstream Buffer Cost</t>
  </si>
  <si>
    <t>Outer tank total mass</t>
  </si>
  <si>
    <t>Inner tank total mass</t>
  </si>
  <si>
    <t>Intermediate storage</t>
  </si>
  <si>
    <t>Buffer Storage (upstream)</t>
  </si>
  <si>
    <t>Buffer Storage (downstream)</t>
  </si>
  <si>
    <t>2024 cost</t>
  </si>
  <si>
    <t>Tractor Trucks</t>
  </si>
  <si>
    <t>Flatbed Trailers</t>
  </si>
  <si>
    <t>Operating trailers</t>
  </si>
  <si>
    <t>Total trailers</t>
  </si>
  <si>
    <t>Cost per trailer</t>
  </si>
  <si>
    <t>Total trailer cost</t>
  </si>
  <si>
    <t>LCO2 Containers</t>
  </si>
  <si>
    <t>Transport container cost</t>
  </si>
  <si>
    <t>Tractor truck cost</t>
  </si>
  <si>
    <t>Transload Facilities</t>
  </si>
  <si>
    <t>Truck, Two Drivers</t>
  </si>
  <si>
    <t>Truck, Intermediate Storage</t>
  </si>
  <si>
    <t>Intermodal Container</t>
  </si>
  <si>
    <t>Total footprint</t>
  </si>
  <si>
    <t>Trailer storage capacity</t>
  </si>
  <si>
    <t>Trailer Length</t>
  </si>
  <si>
    <t>Trailer Width</t>
  </si>
  <si>
    <t>Trailer Foot print</t>
  </si>
  <si>
    <t>Correction for truck maneuvering</t>
  </si>
  <si>
    <t>Site area utilization</t>
  </si>
  <si>
    <t>Building area utilization</t>
  </si>
  <si>
    <t>Earthwork depth</t>
  </si>
  <si>
    <t>Parking requirement</t>
  </si>
  <si>
    <t>Office requirement</t>
  </si>
  <si>
    <t>building CO2</t>
  </si>
  <si>
    <t>Total transload cost</t>
  </si>
  <si>
    <t>Transload facility cost</t>
  </si>
  <si>
    <t>Facility CO2</t>
  </si>
  <si>
    <t>Production and use emissions</t>
  </si>
  <si>
    <t>t-CO2e/each</t>
  </si>
  <si>
    <t>Total emissions</t>
  </si>
  <si>
    <t>t-CO2e</t>
  </si>
  <si>
    <t>Trailer Mass</t>
  </si>
  <si>
    <t>Truck Mass</t>
  </si>
  <si>
    <t>Fuel mass (t)</t>
  </si>
  <si>
    <t>g-CO2e/mmBTU</t>
  </si>
  <si>
    <t>Low Sulfur Diesel LHV</t>
  </si>
  <si>
    <t>mmBTU/gal</t>
  </si>
  <si>
    <t>Low Sulfur Diesel Well-to-Pump CO2 intensity</t>
  </si>
  <si>
    <t>kg-CO2e/gal</t>
  </si>
  <si>
    <t>Diesel Well-to-Wheel CO2 intensity</t>
  </si>
  <si>
    <t>gCO2e/lb</t>
  </si>
  <si>
    <t>Concrete CO2</t>
  </si>
  <si>
    <t>tCO2e/t</t>
  </si>
  <si>
    <t>Recovered cost per transport unit</t>
  </si>
  <si>
    <t>Container number</t>
  </si>
  <si>
    <t>tCO2e/each</t>
  </si>
  <si>
    <t>Container emissions (tCO2e)</t>
  </si>
  <si>
    <t>Total Container emissions</t>
  </si>
  <si>
    <t>Container emissions</t>
  </si>
  <si>
    <t>tCO2e</t>
  </si>
  <si>
    <t>Upstream Vessel Mass</t>
  </si>
  <si>
    <t>Downstream Vessel Mass</t>
  </si>
  <si>
    <t>https://journals.sagepub.com/doi/10.1177/0361198118774690</t>
  </si>
  <si>
    <t>RSMeans. Building Construction Costs with RSMeans Data, Greenville, SC, Gordian, 2023.</t>
  </si>
  <si>
    <t>Building side length</t>
  </si>
  <si>
    <t>Sheet metal thickness</t>
  </si>
  <si>
    <t>Wall thickness</t>
  </si>
  <si>
    <t>Total wall length</t>
  </si>
  <si>
    <t>Wall volume</t>
  </si>
  <si>
    <t>Pad volume</t>
  </si>
  <si>
    <t>Total metal</t>
  </si>
  <si>
    <t>Rebar volume content of concrete</t>
  </si>
  <si>
    <t>Rebar content</t>
  </si>
  <si>
    <t>Metal beam spacing</t>
  </si>
  <si>
    <t>Roof metal sheeting</t>
  </si>
  <si>
    <t>Beam Number</t>
  </si>
  <si>
    <t>Beam Length</t>
  </si>
  <si>
    <t>Total Beam Length</t>
  </si>
  <si>
    <t>Beam mass per unit length</t>
  </si>
  <si>
    <t>kg/m-length</t>
  </si>
  <si>
    <t>Beam mass</t>
  </si>
  <si>
    <t>Life Cycle CO2</t>
  </si>
  <si>
    <t>Upstream buffer storage</t>
  </si>
  <si>
    <t>Trailers</t>
  </si>
  <si>
    <t>Containers</t>
  </si>
  <si>
    <t>Downstream buffer storage</t>
  </si>
  <si>
    <t>Boil Off Gas</t>
  </si>
  <si>
    <t>tCO2e/y</t>
  </si>
  <si>
    <t>Upstream emissions</t>
  </si>
  <si>
    <t>Downstream emissions</t>
  </si>
  <si>
    <t>Transport efficiency</t>
  </si>
  <si>
    <t>gal/y</t>
  </si>
  <si>
    <t>Total fuel cost</t>
  </si>
  <si>
    <t>American Transportation Research Institute. An Analysis of the Operational Costs of Trucking: 2022 Update.</t>
  </si>
  <si>
    <t>Repair &amp; Maitenance (2021$/mi)</t>
  </si>
  <si>
    <t>Tires (2021$/mi)</t>
  </si>
  <si>
    <t>Insurance (2021$/mi)</t>
  </si>
  <si>
    <t>Tolls (2021$/mi)</t>
  </si>
  <si>
    <t>Maintenance &amp; Repair</t>
  </si>
  <si>
    <t>Licenses &amp; permits</t>
  </si>
  <si>
    <t>Permits &amp; Licenses (2021$/mi)</t>
  </si>
  <si>
    <t>Insurance, Permits, Fees</t>
  </si>
  <si>
    <t>Trailer Wrangler Salary</t>
  </si>
  <si>
    <t>Trailer Wrangler #</t>
  </si>
  <si>
    <t>Trailer Wrangler Cost</t>
  </si>
  <si>
    <t>Total labor</t>
  </si>
  <si>
    <t>Mobile Equipment</t>
  </si>
  <si>
    <t>Stationary equipment</t>
  </si>
  <si>
    <t>Buildings and construction</t>
  </si>
  <si>
    <t>IRR and Contingency</t>
  </si>
  <si>
    <t>Electricity consumption (kWh/t-CO2)</t>
  </si>
  <si>
    <t>https://doi.org/10.1016/j.ijrefrig.2019.04.011</t>
  </si>
  <si>
    <t>Delivery Pressure (bar)</t>
  </si>
  <si>
    <t>Pressure</t>
  </si>
  <si>
    <t>Electricity consumption</t>
  </si>
  <si>
    <t>Liquid pressure (bar)</t>
  </si>
  <si>
    <t>Stored liquid temperature (C)</t>
  </si>
  <si>
    <t>Compressor chain cost</t>
  </si>
  <si>
    <t>Slope</t>
  </si>
  <si>
    <t>Intercept</t>
  </si>
  <si>
    <t>Coefficient D</t>
  </si>
  <si>
    <t>Refrigeration 1st stage power</t>
  </si>
  <si>
    <t>Recirculation power</t>
  </si>
  <si>
    <t>Coefficient</t>
  </si>
  <si>
    <t>Exponent</t>
  </si>
  <si>
    <t>Equipment cost (2015 euro)</t>
  </si>
  <si>
    <t>Heat exchanger cost</t>
  </si>
  <si>
    <t>Exponent A</t>
  </si>
  <si>
    <t>Residence time (s)</t>
  </si>
  <si>
    <t>Tank cost</t>
  </si>
  <si>
    <t>Capital expenditure</t>
  </si>
  <si>
    <t>Reconditioning</t>
  </si>
  <si>
    <t>Minimum scale (Mt-CO2/y)</t>
  </si>
  <si>
    <t>Maximum scale (Mt-CO2/y)</t>
  </si>
  <si>
    <t>Fitting section</t>
  </si>
  <si>
    <t>Compressor Chain HX1</t>
  </si>
  <si>
    <t>Compressor Chain HX2</t>
  </si>
  <si>
    <t>Total cost</t>
  </si>
  <si>
    <t>Refrigeration Intercooler</t>
  </si>
  <si>
    <t>Refrigeration Main HX</t>
  </si>
  <si>
    <t>Liquefaction Precooler</t>
  </si>
  <si>
    <t>Compressor chain HX total area (m2)</t>
  </si>
  <si>
    <t>Refrigeration HX total area (m2)</t>
  </si>
  <si>
    <t>Liquefaction HX total area (m2)</t>
  </si>
  <si>
    <t>Compressor chain HX number</t>
  </si>
  <si>
    <t>Reference flowrate</t>
  </si>
  <si>
    <t>Reference area (m2)</t>
  </si>
  <si>
    <t>Hollmann, John K. "Improve your contingency estimates for more realistic project budgets: Reliable risk-analysis and contingency-estimation practices help to better manage costs in CPI projects of all sizes." Chemical Engineering 121.12 (2014): 36-44.</t>
  </si>
  <si>
    <t>Capital Cost Summary</t>
  </si>
  <si>
    <t>Operating Cost Summary</t>
  </si>
  <si>
    <t>Annual electricity cost</t>
  </si>
  <si>
    <t>Pre-financing Cost Summary</t>
  </si>
  <si>
    <t>Delivered CO2</t>
  </si>
  <si>
    <t>net/gross CO2</t>
  </si>
  <si>
    <t>USD/y</t>
  </si>
  <si>
    <t>USD</t>
  </si>
  <si>
    <t>Driver Overhead Rate</t>
  </si>
  <si>
    <t>Driver Overhead rate</t>
  </si>
  <si>
    <t>mpg</t>
  </si>
  <si>
    <t>Fuel Economy Pathway</t>
  </si>
  <si>
    <t>EPA Limits</t>
  </si>
  <si>
    <t xml:space="preserve">Current Fleet Average </t>
  </si>
  <si>
    <t>Historical Trends</t>
  </si>
  <si>
    <t>30,000-40,000</t>
  </si>
  <si>
    <t>40,000-50,000</t>
  </si>
  <si>
    <t>50,000-60,000</t>
  </si>
  <si>
    <t>60,000-70,000</t>
  </si>
  <si>
    <t>70,000-80,000</t>
  </si>
  <si>
    <t>80,000-120,000</t>
  </si>
  <si>
    <t>Historical Trend</t>
  </si>
  <si>
    <t>Project fuel consumption</t>
  </si>
  <si>
    <t>Loaded fuel economy</t>
  </si>
  <si>
    <t>Unloaded fuel economy</t>
  </si>
  <si>
    <t>Project loaded fuel consumption</t>
  </si>
  <si>
    <t>Project unloaded fuel consumption</t>
  </si>
  <si>
    <t>Internal Design Pressure</t>
  </si>
  <si>
    <t>External Design Pressure</t>
  </si>
  <si>
    <t>Ambient pressure</t>
  </si>
  <si>
    <t>Mpa</t>
  </si>
  <si>
    <t>Outer tank inner diameter</t>
  </si>
  <si>
    <t>Grid Carbon Intensity</t>
  </si>
  <si>
    <t>Number of containers per unit (#)</t>
  </si>
  <si>
    <t>LCO2 intermodal container capacity</t>
  </si>
  <si>
    <t>LCO2 tanker capacity</t>
  </si>
  <si>
    <t>LCO2 rail tanker capacity</t>
  </si>
  <si>
    <t>LCO2 Rail Tanker</t>
  </si>
  <si>
    <t>2021 cost</t>
  </si>
  <si>
    <t>Association of American Railroads, Railroad Facts (2020).</t>
  </si>
  <si>
    <t>kJ/gal</t>
  </si>
  <si>
    <t>Wang, Michael, Elgowainy, Amgad, Lee, Uisung, Baek, Kwang H., Bafana, Adarsh, Benavides, Pahola T., Burnham, Andrew, Cai, Hao, Cappello, Vincenzo, Chen, Peter, Gan, Yu, Gracida-Alvarez, Ulises R., Hawkins, Troy R., Iyer, Rakesh K., Kelly, Jarod C., Kim, Taemin, Kumar, Shishir, Kwon, Hoyoung, Lee, Kyuha, Liu, Xinyu, Lu, Zifeng, Masum, Farhad, Ng, Clarence, Ou, Longwen, Reddi, Krishna, Siddique, Nazib, Sun, Pingping, Vyawahare, Pradeep, Xu, Hui, and Zaimes, George. Greenhouse gases, Regulated Emissions, and Energy use in Technologies Model ® (2022 Excel). Computer Software. USDOE Office of Energy Efficiency and Renewable Energy (EERE). 10 Oct. 2022. Web. doi:10.11578/GREET-Excel-2022/dc.20220908.1.</t>
  </si>
  <si>
    <t>Elgowainy, Amgad, et al. Railroad Energy Intensity and Criteria Air Pollutant Emissions. No. DOT/FRA/ORD-18/34. 2018.</t>
  </si>
  <si>
    <t>US Government Accountability Office. Freight Rail Information on Precision Scheduled Railroading, GAO-23-105420.</t>
  </si>
  <si>
    <t>Single unit capacity</t>
  </si>
  <si>
    <t>BNSF</t>
  </si>
  <si>
    <t>CSX</t>
  </si>
  <si>
    <t>Kansas City Southern</t>
  </si>
  <si>
    <t>Norfolk Southern</t>
  </si>
  <si>
    <t>Union Pacific</t>
  </si>
  <si>
    <t>GTC</t>
  </si>
  <si>
    <t>Canadian Pacific</t>
  </si>
  <si>
    <t>True speed correction factor</t>
  </si>
  <si>
    <t>Average speed (mi/h)</t>
  </si>
  <si>
    <t>True average speed (mi/h)</t>
  </si>
  <si>
    <t>Standard deviation (mi/h)</t>
  </si>
  <si>
    <t>True standard deviation (mi/h)</t>
  </si>
  <si>
    <t>Rail Operator Characteristics</t>
  </si>
  <si>
    <t>Rail Speed (mi/h)</t>
  </si>
  <si>
    <t>Average Speed (mi/h)</t>
  </si>
  <si>
    <t>Average Base Rate (2021$/car)</t>
  </si>
  <si>
    <t>Base rate ($/car)</t>
  </si>
  <si>
    <t>US Surface Transportation Board, Quarterly Reports of Rail Fuel Surcharge, 2019 data. https://www.stb.gov/reports-data/economic-data/quarterly-rail-fuel-surcharges/</t>
  </si>
  <si>
    <t>US Surface Transportation Board, Freight Commodity Statistics, 2019 data. https://www.stb.gov/reports-data/economic-data/freight-commodity-statistics/</t>
  </si>
  <si>
    <t>US Surface Transportation Board, Commodity Revenue Stratification Reports (CRSR), 7-Digit STCC 2019 Report. https://www.stb.gov/reports-data/economic-data/</t>
  </si>
  <si>
    <t>Base rate correction factor</t>
  </si>
  <si>
    <t>Average Fuel Surcharge ($/car*mi)</t>
  </si>
  <si>
    <t>Fuel Surcharge ($/car*mi)</t>
  </si>
  <si>
    <t>Rail Base Rate (2019$/car)</t>
  </si>
  <si>
    <t>Rail Fuel Surcharge (2019$/mi)</t>
  </si>
  <si>
    <t>Water requirement (m3/t-CO2)</t>
  </si>
  <si>
    <t>Water consumption</t>
  </si>
  <si>
    <t>Annual water cost</t>
  </si>
  <si>
    <t>m3/t-CO2</t>
  </si>
  <si>
    <t>Water escalation rate (%/y)</t>
  </si>
  <si>
    <t>US Department of Energy, Office of Energy Efficiency &amp; Renewable Energy, Water and Wastewater Annual Price Escalation Rates for Selected Cities across the United States (2017).</t>
  </si>
  <si>
    <t>Water Rate (2015$/gal)</t>
  </si>
  <si>
    <t>Makeup water cost</t>
  </si>
  <si>
    <t>2022 USD/1000 gal</t>
  </si>
  <si>
    <t>Tanker Trailer</t>
  </si>
  <si>
    <t>Tanker Trailer for Sleeper Truck</t>
  </si>
  <si>
    <t>2023 cost</t>
  </si>
  <si>
    <t>2022USD</t>
  </si>
  <si>
    <t>Operating number</t>
  </si>
  <si>
    <t>Total number</t>
  </si>
  <si>
    <t>Trailer production emissions</t>
  </si>
  <si>
    <t>Total trailer emissions</t>
  </si>
  <si>
    <t>US Department of Transportation, Mark A Maday, CO2 by Rail North American Overview, CO2 Freight Transport Workshop, Oct 12 2022.</t>
  </si>
  <si>
    <t>Truck Logistics</t>
  </si>
  <si>
    <t>Rail Logistics</t>
  </si>
  <si>
    <t>Tanker Rail Logistics</t>
  </si>
  <si>
    <t>h/car</t>
  </si>
  <si>
    <t>Unit train length</t>
  </si>
  <si>
    <t>cars</t>
  </si>
  <si>
    <t>Maximum unit train length</t>
  </si>
  <si>
    <t>Federal Register, Vol. 88, No. 84, Notices, US Department of Transportation, Federal Railroad Administration, Safety Advisory 2023-03; Accident Mitigation and Train Length.</t>
  </si>
  <si>
    <t>Nozzle number</t>
  </si>
  <si>
    <t>Transport time</t>
  </si>
  <si>
    <t>Transport distance</t>
  </si>
  <si>
    <t>Transport speed</t>
  </si>
  <si>
    <t>Intermodal Rail Logistics</t>
  </si>
  <si>
    <t>Tanker Truck Logistics</t>
  </si>
  <si>
    <t>Intermodal Truck Logistics</t>
  </si>
  <si>
    <t>Secure time</t>
  </si>
  <si>
    <t>Additional load time</t>
  </si>
  <si>
    <t>Additional unload time</t>
  </si>
  <si>
    <t>Hookup</t>
  </si>
  <si>
    <t>Unhook</t>
  </si>
  <si>
    <t>Maximum hookups per operator</t>
  </si>
  <si>
    <t>Container un/loaders</t>
  </si>
  <si>
    <t>Speed Standard Deviation</t>
  </si>
  <si>
    <t>Rail Speed standard deviation (mi/h)</t>
  </si>
  <si>
    <t>Crane Operator</t>
  </si>
  <si>
    <t>Container un/loading</t>
  </si>
  <si>
    <t>Unload Crane operators required</t>
  </si>
  <si>
    <t>Load Crane operators required</t>
  </si>
  <si>
    <t>Liquefaction system operators</t>
  </si>
  <si>
    <t>Minimum cost</t>
  </si>
  <si>
    <t>Correlated cost</t>
  </si>
  <si>
    <t>CAPEX/y</t>
  </si>
  <si>
    <t>Reconditioning system operators</t>
  </si>
  <si>
    <t>Operator cost</t>
  </si>
  <si>
    <t>Liquefaction operator</t>
  </si>
  <si>
    <t>Reconditioning operator</t>
  </si>
  <si>
    <t>Current Fleet Average</t>
  </si>
  <si>
    <t>Total Weight (lbs)</t>
  </si>
  <si>
    <t>mpg/y</t>
  </si>
  <si>
    <t>Fuel efficiency increase rate</t>
  </si>
  <si>
    <t>Reference year</t>
  </si>
  <si>
    <t>Average loaded fuel economy</t>
  </si>
  <si>
    <t>Average unloaded fuel economy</t>
  </si>
  <si>
    <t>Empty/loaded mass ratio</t>
  </si>
  <si>
    <t>Freight revenue fuel consumption</t>
  </si>
  <si>
    <t>Fuel use change</t>
  </si>
  <si>
    <t>Makeup Water</t>
  </si>
  <si>
    <t>Stationary Maintenance Cost</t>
  </si>
  <si>
    <t>Stationary Insurance Cost</t>
  </si>
  <si>
    <t>Net CO2 Transported each year (tonnes)</t>
  </si>
  <si>
    <t>Annual Tonnes of CO2 Transported (net)</t>
  </si>
  <si>
    <t>Common values</t>
  </si>
  <si>
    <t>Construction period</t>
  </si>
  <si>
    <t>Base rate</t>
  </si>
  <si>
    <t>$/car</t>
  </si>
  <si>
    <t>$/mi</t>
  </si>
  <si>
    <t>kg-CO2/(unit*trip)</t>
  </si>
  <si>
    <t>gal/(unit*trip)</t>
  </si>
  <si>
    <t>Fuel surcharge</t>
  </si>
  <si>
    <t>Difference</t>
  </si>
  <si>
    <t>Demolition unit cost</t>
  </si>
  <si>
    <t>2023$/ft3</t>
  </si>
  <si>
    <t>Building standing volume</t>
  </si>
  <si>
    <t>ft3</t>
  </si>
  <si>
    <t>Demolition cost</t>
  </si>
  <si>
    <t>2023$</t>
  </si>
  <si>
    <t>Steel scrap</t>
  </si>
  <si>
    <t>USD/ton</t>
  </si>
  <si>
    <t>US Geological Socirty, Mineral Commodities Summary (2022).</t>
  </si>
  <si>
    <t>Container cost</t>
  </si>
  <si>
    <t>Steel scrap cost</t>
  </si>
  <si>
    <t>Steel scrap unit value</t>
  </si>
  <si>
    <t>End of Life Cost Summary</t>
  </si>
  <si>
    <t>End of life</t>
  </si>
  <si>
    <t>CAPEX+OPEX</t>
  </si>
  <si>
    <t>Results Summary</t>
  </si>
  <si>
    <t>User Inputs</t>
  </si>
  <si>
    <t>Delivered CO2 over project (net tonnes)</t>
  </si>
  <si>
    <t>States with Rail</t>
  </si>
  <si>
    <t>Assumed base rate reduction through negotiation</t>
  </si>
  <si>
    <t>Negotiated Base Rate Reduction</t>
  </si>
  <si>
    <t>Truck Long Haul Solution</t>
  </si>
  <si>
    <t>Rail Transit Time Method</t>
  </si>
  <si>
    <t>Transit time (h)</t>
  </si>
  <si>
    <t>Rail Transit Time (h)</t>
  </si>
  <si>
    <t>Water content</t>
  </si>
  <si>
    <t>Water content (ppm)</t>
  </si>
  <si>
    <t>Dehydration</t>
  </si>
  <si>
    <t>kg-CO2/h</t>
  </si>
  <si>
    <t>Water content (ppm-mol)</t>
  </si>
  <si>
    <t>ppm-mol</t>
  </si>
  <si>
    <t>H2O Molecular weight</t>
  </si>
  <si>
    <t>CO2 Flowrate</t>
  </si>
  <si>
    <t>kmol-CO2/h</t>
  </si>
  <si>
    <t>mol%</t>
  </si>
  <si>
    <t>kmol-H2O/h</t>
  </si>
  <si>
    <t>kg-H2O/h</t>
  </si>
  <si>
    <t>Corrosion limit for H2O</t>
  </si>
  <si>
    <t>American Bureau of Shipping, Requirements for Liquified Carbon Dioxide Carriers, 2024.</t>
  </si>
  <si>
    <t>H2O Removal rate</t>
  </si>
  <si>
    <t>Required water removal</t>
  </si>
  <si>
    <t>CO2 content</t>
  </si>
  <si>
    <t>per kg-H2O/h</t>
  </si>
  <si>
    <t>https://www.wbdg.org/ffc/dod/unified-facilities-criteria-ufc/ufc-3-701-01</t>
  </si>
  <si>
    <t>Capitalization (% equity)</t>
  </si>
  <si>
    <t>Cost of equity (IRROE)</t>
  </si>
  <si>
    <t>Cost of debt (interest rate)</t>
  </si>
  <si>
    <t>FINEX Parameters</t>
  </si>
  <si>
    <t>Baseline values</t>
  </si>
  <si>
    <t>Depreciation period</t>
  </si>
  <si>
    <t>%/y</t>
  </si>
  <si>
    <t>%</t>
  </si>
  <si>
    <t>FINEX Factors</t>
  </si>
  <si>
    <t>Capitalization</t>
  </si>
  <si>
    <t>IRROE</t>
  </si>
  <si>
    <t>Cost of debt</t>
  </si>
  <si>
    <t>Project Contingency</t>
  </si>
  <si>
    <t>CAISO</t>
  </si>
  <si>
    <t>ERCOT</t>
  </si>
  <si>
    <t>SPP</t>
  </si>
  <si>
    <t>ISO-NE</t>
  </si>
  <si>
    <t>MISO</t>
  </si>
  <si>
    <t>NYISO</t>
  </si>
  <si>
    <t>Northwest</t>
  </si>
  <si>
    <t>PJM</t>
  </si>
  <si>
    <t>Southeast</t>
  </si>
  <si>
    <t>Southwest</t>
  </si>
  <si>
    <t>2019 Electricity Consumption GWP (g-CO2e/kWh) --&gt;</t>
  </si>
  <si>
    <t>2019 Electricity Consumption CI (g-CO2/kWh) --&gt;</t>
  </si>
  <si>
    <t>US</t>
  </si>
  <si>
    <t>Electricity direct emissions data baseline year:</t>
  </si>
  <si>
    <t>Electricity CI and GWP data baseline year:</t>
  </si>
  <si>
    <t>Electricity direct CO2 emissions (g-CO2/kWh)</t>
  </si>
  <si>
    <t>Electricity Consumption Life cycle CI (g-CO2/kWh)</t>
  </si>
  <si>
    <t>Electricity Consumption life cycle GWP (g-CO2e/kWh)</t>
  </si>
  <si>
    <t>CO2 Calculation</t>
  </si>
  <si>
    <t>CO2 only</t>
  </si>
  <si>
    <t>CO2e</t>
  </si>
  <si>
    <t>Net Cost</t>
  </si>
  <si>
    <t>Gross Cost</t>
  </si>
  <si>
    <t>Net</t>
  </si>
  <si>
    <t>Gross</t>
  </si>
  <si>
    <t>Net CO2 Transport Efficiency</t>
  </si>
  <si>
    <t>Boil-Off Gas</t>
  </si>
  <si>
    <t>Materials</t>
  </si>
  <si>
    <t>Net CO2 transport efficiency</t>
  </si>
  <si>
    <t>Net (%)</t>
  </si>
  <si>
    <t>Gross (t-CO2/y)</t>
  </si>
  <si>
    <t>Grid Decarbonization Pathway</t>
  </si>
  <si>
    <t>No. 2 Diesel Combustion CO2 Intensity</t>
  </si>
  <si>
    <t>Liquid CO2 Isochoric Heat Capacity</t>
  </si>
  <si>
    <t>Energy requirement</t>
  </si>
  <si>
    <t>McCollum, David L., and Joan M. Ogden. "Techno-economic models for carbon dioxide compression, transport, and storage &amp; correlations for estimating carbon dioxide density and viscosity." (2006).</t>
  </si>
  <si>
    <t>Pump efficiency</t>
  </si>
  <si>
    <t>Pressure (MPa)</t>
  </si>
  <si>
    <t>Density (kg/m3)</t>
  </si>
  <si>
    <t>kg/t</t>
  </si>
  <si>
    <t>bar/MPa</t>
  </si>
  <si>
    <t>t-CO2/d</t>
  </si>
  <si>
    <t>Energy (kWh/t-CO2)</t>
  </si>
  <si>
    <t>Temperature (C)</t>
  </si>
  <si>
    <t>Energy (kWh/t)</t>
  </si>
  <si>
    <t>kJ/(kg*K)</t>
  </si>
  <si>
    <t>MuMo-CoCo is an macro-enabled Microsoft Excel-based life cycle assessment and cost model for the transport of CO2 via rail or truck in the United States. To run MuMo-CoCo, download the file to your computer and ensure Macros are enabled in Microsoft Excel.</t>
  </si>
  <si>
    <t>MuMo-CoCo was created by Corey Myers, PhD; myers79@llnl.gov.</t>
  </si>
  <si>
    <t>Many thanks to Gregory Markham, Wenqin Li, and Menyao Yuan for their contributions to the development of MuMo-CoCo.</t>
  </si>
  <si>
    <t>Myers, Corey and Li, Wenqin and Markham, Gregory, The Cost of CO2 Transport by Truck and Rail in the United States. Available at SSRN: https://ssrn.com/abstract=4724930 or http://dx.doi.org/10.2139/ssrn.4724930</t>
  </si>
  <si>
    <t>Please read CONTRIBUTING.md for details on the process for submitting change requests, reporting bugs, and requesting additional functionality.</t>
  </si>
  <si>
    <t>LLNL-CODE-860116</t>
  </si>
  <si>
    <t>BSD 3-Clause License</t>
  </si>
  <si>
    <t>Getting Started</t>
  </si>
  <si>
    <t>How to</t>
  </si>
  <si>
    <t>Authors</t>
  </si>
  <si>
    <t>Citing MuMo-CoCo</t>
  </si>
  <si>
    <t>Release</t>
  </si>
  <si>
    <t>Contributing</t>
  </si>
  <si>
    <t>Notice</t>
  </si>
  <si>
    <t>This work was produced under the auspices of the U.S. Department of Energy by Lawrence Livermore National Laboratory under Contract DE-AC52-07NA27344.</t>
  </si>
  <si>
    <t>This work was prepared as an account of work sponsored by an agency of the United States Government. Neither the United States Government nor Lawrence Livermore National Security, LLC, nor any of their employees makes any warranty, expressed or implied, or assumes any legal liability or responsibility for the accuracy, completeness, or usefulness of any information, apparatus, product, or process disclosed, or represents that its use would not infringe privately owned rights. Reference herein to any specific commercial product, process, or service by trade name, trademark, manufacturer, or otherwise does not necessarily constitute or imply its endorsement, recommendation, or favoring by the United States Government or Lawrence Livermore National Security, LLC. The views and opinions of authors expressed herein do not necessarily state or reflect those of the United States Government or Lawrence Livermore National Security, LLC, and shall not be used for advertising or product endorsement purposes.</t>
  </si>
  <si>
    <t>License</t>
  </si>
  <si>
    <t>* Redistributions of source code must retain the above copyright notice, this  list of conditions and the following disclaimer.</t>
  </si>
  <si>
    <t>Redistribution and use in source and binary forms, with or without modification, are permitted provided that the following conditions are met:</t>
  </si>
  <si>
    <t>Copyright (c) 2018, Lawrence Livermore National Security, LLC All rights reserved.</t>
  </si>
  <si>
    <t>* Redistributions in binary form must reproduce the above copyright notice,  this list of conditions and the following disclaimer in the documentation  and/or other materials provided with the distribution.</t>
  </si>
  <si>
    <t>* Neither the name of the copyright holder nor the names of its contributors may be used to endorse or promote products derived from this software without specific prior written permission.</t>
  </si>
  <si>
    <t>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</si>
  <si>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 xml:space="preserve">LLNL-CODE-860116. Work at the Lawrence Livermore National Laboratory was performed under the auspices of the U.S. DOE under Contract DE-AC52-07NA27344. </t>
  </si>
  <si>
    <t>LLNL-CODE-860116. Work at the Lawrence Livermore National Laboratory was performed under the auspices of the U.S. DOE under Contract DE-AC52-07NA27344.</t>
  </si>
  <si>
    <t>Emissions details</t>
  </si>
  <si>
    <t>Time until minimum volume available</t>
  </si>
  <si>
    <t>Rail cars required</t>
  </si>
  <si>
    <t>Fill rate per car</t>
  </si>
  <si>
    <t>Rail tanker fill time</t>
  </si>
  <si>
    <t>Rail tanker discharge time</t>
  </si>
  <si>
    <t>Cycle time</t>
  </si>
  <si>
    <t>Hold time at discharge</t>
  </si>
  <si>
    <t>Buffer volume</t>
  </si>
  <si>
    <t>Additional hold time for each leg</t>
  </si>
  <si>
    <t>Adjusted Cycle time</t>
  </si>
  <si>
    <t>car#</t>
  </si>
  <si>
    <t>Transfers per year</t>
  </si>
  <si>
    <t>Unit trains operating in parallel required</t>
  </si>
  <si>
    <t>Rail cars per filler or discharger</t>
  </si>
  <si>
    <t>#/worker</t>
  </si>
  <si>
    <t>Rail car fillers</t>
  </si>
  <si>
    <t>Rail car dischargers</t>
  </si>
  <si>
    <t>Crane Operators</t>
  </si>
  <si>
    <t>Intermodals required</t>
  </si>
  <si>
    <t>Time between trains</t>
  </si>
  <si>
    <t>Unit trains operating in parallel</t>
  </si>
  <si>
    <t>4 Intermodals fill time</t>
  </si>
  <si>
    <t>4 intermodals discharge time</t>
  </si>
  <si>
    <t>Upstream buffer transfer</t>
  </si>
  <si>
    <t>Downstream buffer transfer</t>
  </si>
  <si>
    <t>2019 Average unit train car length</t>
  </si>
  <si>
    <t>Length ratio</t>
  </si>
  <si>
    <t>Fullerton, Garret A., Giovanni C. DiDomenico, and C. Tyler Dick. "Sensitivity of freight and passenger rail fuel efficiency to infrastructure, equipment, and operating factors." Transportation Research Record 2476.1 (2015): 59-66.</t>
  </si>
  <si>
    <t>Fuel economy correction factor</t>
  </si>
  <si>
    <t>Scheduling details</t>
  </si>
  <si>
    <t>Train length</t>
  </si>
  <si>
    <t>Truck arrives every</t>
  </si>
  <si>
    <t>Train arrives every</t>
  </si>
  <si>
    <t>Adds</t>
  </si>
  <si>
    <t>Average freight train length</t>
  </si>
  <si>
    <t>Grid Net Zero Year</t>
  </si>
  <si>
    <t>GHG accounting</t>
  </si>
  <si>
    <t>Negotiated Rail 'Base Rate' Reduction</t>
  </si>
  <si>
    <t>Construction Start Year</t>
  </si>
  <si>
    <r>
      <t xml:space="preserve">User inputs are selected from drop-down boxes in the </t>
    </r>
    <r>
      <rPr>
        <i/>
        <sz val="14"/>
        <color theme="1"/>
        <rFont val="Calibri"/>
        <family val="2"/>
        <scheme val="minor"/>
      </rPr>
      <t>'User Interface'</t>
    </r>
    <r>
      <rPr>
        <sz val="14"/>
        <color theme="1"/>
        <rFont val="Calibri"/>
        <family val="2"/>
        <charset val="128"/>
        <scheme val="minor"/>
      </rPr>
      <t xml:space="preserve"> sheet. Results are automatically calculated and populated in the Results sections and graph on the same </t>
    </r>
    <r>
      <rPr>
        <i/>
        <sz val="14"/>
        <color theme="1"/>
        <rFont val="Calibri"/>
        <family val="2"/>
        <scheme val="minor"/>
      </rPr>
      <t>'User Interface'</t>
    </r>
    <r>
      <rPr>
        <sz val="14"/>
        <color theme="1"/>
        <rFont val="Calibri"/>
        <family val="2"/>
        <charset val="128"/>
        <scheme val="minor"/>
      </rPr>
      <t xml:space="preserve"> sheet. When 'calculated' input values are selected by the user, their values do not automatically update in the user selection pane; to see these values, click on the drop down list for the value of interest and the calculated value will be displayed. Input selections can be altered beyond the standard set points by manually changing the values in the </t>
    </r>
    <r>
      <rPr>
        <i/>
        <sz val="14"/>
        <color theme="1"/>
        <rFont val="Calibri"/>
        <family val="2"/>
        <scheme val="minor"/>
      </rPr>
      <t>'Options'</t>
    </r>
    <r>
      <rPr>
        <sz val="14"/>
        <color theme="1"/>
        <rFont val="Calibri"/>
        <family val="2"/>
        <charset val="128"/>
        <scheme val="minor"/>
      </rPr>
      <t xml:space="preserve"> sheet and/or changing the 'Data Validation' range of each variable in the </t>
    </r>
    <r>
      <rPr>
        <i/>
        <sz val="14"/>
        <color theme="1"/>
        <rFont val="Calibri"/>
        <family val="2"/>
        <scheme val="minor"/>
      </rPr>
      <t>'User Interface'</t>
    </r>
    <r>
      <rPr>
        <sz val="14"/>
        <color theme="1"/>
        <rFont val="Calibri"/>
        <family val="2"/>
        <charset val="128"/>
        <scheme val="minor"/>
      </rPr>
      <t xml:space="preserve"> sheet; it is not recommeded to extend analysis outside of the initial range provided. The </t>
    </r>
    <r>
      <rPr>
        <i/>
        <sz val="14"/>
        <color theme="1"/>
        <rFont val="Calibri"/>
        <family val="2"/>
        <scheme val="minor"/>
      </rPr>
      <t>'Calculations'</t>
    </r>
    <r>
      <rPr>
        <sz val="14"/>
        <color theme="1"/>
        <rFont val="Calibri"/>
        <family val="2"/>
        <charset val="128"/>
        <scheme val="minor"/>
      </rPr>
      <t xml:space="preserve"> sheet contains all the design equations and data sources used for calculations, except for financing. Financing calculations are performed in the </t>
    </r>
    <r>
      <rPr>
        <i/>
        <sz val="14"/>
        <color theme="1"/>
        <rFont val="Calibri"/>
        <family val="2"/>
        <scheme val="minor"/>
      </rPr>
      <t>'FINEX'</t>
    </r>
    <r>
      <rPr>
        <sz val="14"/>
        <color theme="1"/>
        <rFont val="Calibri"/>
        <family val="2"/>
        <charset val="128"/>
        <scheme val="minor"/>
      </rPr>
      <t xml:space="preserve"> sheet. Macros exist in the file for the calculation of boil-off gas rates and financial analyses. Macros also update available user selections based on system design choices. Blue cells in the 'Calculations' and 'FINEX' sheets indicate user selected variables.</t>
    </r>
  </si>
  <si>
    <t>Cost details</t>
  </si>
  <si>
    <t>Calculated transit time (h)</t>
  </si>
  <si>
    <t>Taher, Matt. Carbon Capture: CO2 Compression Challenges and Design Options. Proceedings of ASME Turbo Expo 2022 Turbomachinery Technical Conference and Exposition. Netherlands (2022). GT2022-82209.</t>
  </si>
  <si>
    <t>Capacity factor</t>
  </si>
  <si>
    <t>Federal revenue tax rate</t>
  </si>
  <si>
    <t>CO2 emissions</t>
  </si>
  <si>
    <t>Interstate Route and in-state lengths (mi)</t>
  </si>
  <si>
    <t>U.S. Department of Transportation, Federal Highway Admininstration (FHWA), FHWA Route Log and Finder List, Table 3: Interstate Routes, at:
https://www.fhwa.dot.gov/planning/national_highway_system/interstate_highway_system/routefinder/table03.cfm</t>
  </si>
  <si>
    <t>https://doi.org/10.1016/j.apenergy.2022.119990</t>
  </si>
  <si>
    <t>D. Morgan, A. Guinan and A. Sheriff, "FECM/NETL CO2 Transport Cost Model (2022): Description and User’s Manual,” National Energy Technology Laboratory, DOE/NETL-2022/3218, Pittsburgh, PA, March 14, 2022. (2022): Description and User’s Manual</t>
  </si>
  <si>
    <t>User Supplied</t>
  </si>
  <si>
    <t xml:space="preserve">Buffer Storage Estimate Method </t>
  </si>
  <si>
    <t>Buffer Storage Time (h)</t>
  </si>
  <si>
    <t>Buffer time</t>
  </si>
  <si>
    <t>Include Liquefaction Costs?</t>
  </si>
  <si>
    <t>Include Reconditioning Costs?</t>
  </si>
  <si>
    <t>User options</t>
  </si>
  <si>
    <t>https://doi.org/10.1177/03611981211031534</t>
  </si>
  <si>
    <t>https://www.netl.doe.gov/energy-analysis/details?id=f0f94954-3627-4e9b-a5c0-c29cfe419d1c</t>
  </si>
  <si>
    <t>Yes</t>
  </si>
  <si>
    <t>C. Myers, G. Markham, and M. Yuan, "LLNL Truck and Rail CO2 Transport Cost Model (2024): Description and User’s Manual,” Lawrence Livermore National Laboratory, Livermore, CA, August 2024, LLNL-TM-2000315.</t>
  </si>
  <si>
    <t>If you are referencing MuMo-CoCo in a publication please cite as one of the following: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</si>
</sst>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6" formatCode="&quot;$&quot;#,##0_);[Red]\(&quot;$&quot;#,##0\)"/>
    <numFmt numFmtId="8" formatCode="&quot;$&quot;#,##0.00_);[Red]\(&quot;$&quot;#,##0.00\)"/>
    <numFmt numFmtId="44" formatCode="_(&quot;$&quot;* #,##0.00_);_(&quot;$&quot;* \(#,##0.00\);_(&quot;$&quot;* &quot;-&quot;??_);_(@_)"/>
    <numFmt numFmtId="43" formatCode="_(* #,##0.00_);_(* \(#,##0.00\);_(* &quot;-&quot;??_);_(@_)"/>
    <numFmt numFmtId="164" formatCode="0.000"/>
    <numFmt numFmtId="165" formatCode="_(* #,##0_);_(* \(#,##0\);_(* &quot;-&quot;??_);_(@_)"/>
    <numFmt numFmtId="166" formatCode="0.0"/>
    <numFmt numFmtId="167" formatCode="&quot;$&quot;#,##0.000_);[Red]\(&quot;$&quot;#,##0.000\)"/>
    <numFmt numFmtId="168" formatCode="0.0%"/>
    <numFmt numFmtId="169" formatCode="0E+00"/>
    <numFmt numFmtId="170" formatCode="_(&quot;$&quot;* #,##0_);_(&quot;$&quot;* \(#,##0\);_(&quot;$&quot;* &quot;-&quot;??_);_(@_)"/>
    <numFmt numFmtId="171" formatCode="0.0000"/>
    <numFmt numFmtId="172" formatCode="#,##0.0"/>
    <numFmt numFmtId="173" formatCode="_(* #,##0.0_);_(* \(#,##0.0\);_(* &quot;-&quot;??_);_(@_)"/>
    <numFmt numFmtId="174" formatCode="0.0000%"/>
    <numFmt numFmtId="175" formatCode="0.00000"/>
    <numFmt numFmtId="176" formatCode="0.0E+00"/>
    <numFmt numFmtId="177" formatCode="_(&quot;$&quot;* #,##0.000_);_(&quot;$&quot;* \(#,##0.000\);_(&quot;$&quot;* &quot;-&quot;??_);_(@_)"/>
    <numFmt numFmtId="178" formatCode="&quot;$&quot;#,##0.0000_);[Red]\(&quot;$&quot;#,##0.0000\)"/>
    <numFmt numFmtId="179" formatCode="0.000%"/>
    <numFmt numFmtId="180" formatCode="0.000000%"/>
  </numFmts>
  <fonts count="32">
    <font>
      <sz val="14"/>
      <color theme="1"/>
      <name val="Calibri"/>
      <family val="2"/>
      <charset val="128"/>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charset val="128"/>
      <scheme val="minor"/>
    </font>
    <font>
      <sz val="14"/>
      <color rgb="FFFF0000"/>
      <name val="Calibri"/>
      <family val="2"/>
      <charset val="128"/>
      <scheme val="minor"/>
    </font>
    <font>
      <sz val="8"/>
      <name val="Calibri"/>
      <family val="2"/>
      <charset val="128"/>
      <scheme val="minor"/>
    </font>
    <font>
      <sz val="9"/>
      <color indexed="81"/>
      <name val="Tahoma"/>
      <family val="2"/>
    </font>
    <font>
      <b/>
      <sz val="9"/>
      <color indexed="81"/>
      <name val="Tahoma"/>
      <family val="2"/>
    </font>
    <font>
      <sz val="14"/>
      <color theme="1"/>
      <name val="Calibri"/>
      <family val="2"/>
      <scheme val="minor"/>
    </font>
    <font>
      <sz val="11"/>
      <color indexed="8"/>
      <name val="Calibri"/>
      <family val="2"/>
      <scheme val="minor"/>
    </font>
    <font>
      <b/>
      <sz val="14"/>
      <color theme="1"/>
      <name val="Calibri"/>
      <family val="2"/>
      <scheme val="minor"/>
    </font>
    <font>
      <sz val="10"/>
      <name val="Arial"/>
      <family val="2"/>
    </font>
    <font>
      <b/>
      <sz val="12"/>
      <name val="Helv"/>
    </font>
    <font>
      <sz val="8"/>
      <name val="Helv"/>
    </font>
    <font>
      <sz val="10"/>
      <name val="Arial"/>
      <family val="2"/>
    </font>
    <font>
      <sz val="10"/>
      <color theme="1"/>
      <name val="Arial"/>
      <family val="2"/>
    </font>
    <font>
      <b/>
      <sz val="12"/>
      <color rgb="FF3F3F3F"/>
      <name val="Calibri"/>
      <family val="2"/>
      <scheme val="minor"/>
    </font>
    <font>
      <b/>
      <sz val="14"/>
      <name val="Calibri"/>
      <family val="2"/>
      <scheme val="minor"/>
    </font>
    <font>
      <u/>
      <sz val="11"/>
      <color theme="10"/>
      <name val="Calibri"/>
      <family val="2"/>
      <scheme val="minor"/>
    </font>
    <font>
      <sz val="14"/>
      <color theme="1"/>
      <name val="Calibri"/>
      <family val="2"/>
    </font>
    <font>
      <sz val="14"/>
      <name val="Calibri"/>
      <family val="2"/>
      <scheme val="minor"/>
    </font>
    <font>
      <sz val="14"/>
      <name val="Impact"/>
      <family val="2"/>
    </font>
    <font>
      <u/>
      <sz val="14"/>
      <color theme="10"/>
      <name val="Calibri"/>
      <family val="2"/>
      <charset val="128"/>
      <scheme val="minor"/>
    </font>
    <font>
      <i/>
      <sz val="14"/>
      <color theme="1"/>
      <name val="Calibri"/>
      <family val="2"/>
      <scheme val="minor"/>
    </font>
    <font>
      <b/>
      <sz val="16"/>
      <color theme="1"/>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rgb="FFF2F2F2"/>
      </patternFill>
    </fill>
    <fill>
      <patternFill patternType="solid">
        <fgColor theme="9" tint="0.59996337778862885"/>
        <bgColor indexed="64"/>
      </patternFill>
    </fill>
    <fill>
      <patternFill patternType="solid">
        <fgColor rgb="FFFCD5B4"/>
        <bgColor indexed="64"/>
      </patternFill>
    </fill>
    <fill>
      <patternFill patternType="solid">
        <fgColor rgb="FFC5D9F1"/>
        <bgColor indexed="64"/>
      </patternFill>
    </fill>
    <fill>
      <patternFill patternType="solid">
        <fgColor theme="9" tint="0.39997558519241921"/>
        <bgColor indexed="64"/>
      </patternFill>
    </fill>
  </fills>
  <borders count="12">
    <border>
      <left/>
      <right/>
      <top/>
      <bottom/>
      <diagonal/>
    </border>
    <border>
      <left/>
      <right/>
      <top/>
      <bottom style="thin">
        <color indexed="64"/>
      </bottom>
      <diagonal/>
    </border>
    <border>
      <left style="thin">
        <color rgb="FF3F3F3F"/>
      </left>
      <right style="thin">
        <color rgb="FF3F3F3F"/>
      </right>
      <top style="thin">
        <color rgb="FF3F3F3F"/>
      </top>
      <bottom style="thin">
        <color rgb="FF3F3F3F"/>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41">
    <xf numFmtId="0" fontId="0" fillId="0" borderId="0">
      <alignment vertical="center"/>
    </xf>
    <xf numFmtId="43" fontId="10" fillId="0" borderId="0" applyFont="0" applyFill="0" applyBorder="0" applyAlignment="0" applyProtection="0"/>
    <xf numFmtId="44" fontId="9" fillId="0" borderId="0" applyFont="0" applyFill="0" applyBorder="0" applyAlignment="0" applyProtection="0"/>
    <xf numFmtId="9" fontId="10" fillId="0" borderId="0" applyFont="0" applyFill="0" applyBorder="0" applyAlignment="0" applyProtection="0"/>
    <xf numFmtId="0" fontId="8" fillId="0" borderId="0"/>
    <xf numFmtId="0" fontId="16" fillId="0" borderId="0"/>
    <xf numFmtId="0" fontId="7" fillId="0" borderId="0"/>
    <xf numFmtId="43" fontId="7" fillId="0" borderId="0" applyFont="0" applyFill="0" applyBorder="0" applyAlignment="0" applyProtection="0"/>
    <xf numFmtId="9" fontId="7" fillId="0" borderId="0" applyFont="0" applyFill="0" applyBorder="0" applyAlignment="0" applyProtection="0"/>
    <xf numFmtId="44" fontId="7" fillId="0" borderId="0" applyFont="0" applyFill="0" applyBorder="0" applyAlignment="0" applyProtection="0"/>
    <xf numFmtId="0" fontId="16" fillId="0" borderId="0"/>
    <xf numFmtId="0" fontId="18" fillId="0" borderId="0"/>
    <xf numFmtId="0" fontId="19" fillId="0" borderId="0">
      <alignment horizontal="left"/>
    </xf>
    <xf numFmtId="0" fontId="18" fillId="0" borderId="0"/>
    <xf numFmtId="0" fontId="20" fillId="0" borderId="0">
      <alignment horizontal="left"/>
    </xf>
    <xf numFmtId="0" fontId="21"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5" fillId="0" borderId="0"/>
    <xf numFmtId="43" fontId="22"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0" fontId="23" fillId="3" borderId="2" applyNumberFormat="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0" fontId="3" fillId="0" borderId="0"/>
    <xf numFmtId="0" fontId="10" fillId="0" borderId="0">
      <alignment vertical="center"/>
    </xf>
    <xf numFmtId="44" fontId="3" fillId="0" borderId="0" applyFont="0" applyFill="0" applyBorder="0" applyAlignment="0" applyProtection="0"/>
    <xf numFmtId="9" fontId="3" fillId="0" borderId="0" applyFont="0" applyFill="0" applyBorder="0" applyAlignment="0" applyProtection="0"/>
    <xf numFmtId="0" fontId="2" fillId="0" borderId="0"/>
    <xf numFmtId="0" fontId="25" fillId="0" borderId="0" applyNumberForma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1" fillId="0" borderId="0"/>
    <xf numFmtId="0" fontId="29" fillId="0" borderId="0" applyNumberFormat="0" applyFill="0" applyBorder="0" applyAlignment="0" applyProtection="0">
      <alignment vertical="center"/>
    </xf>
  </cellStyleXfs>
  <cellXfs count="225">
    <xf numFmtId="0" fontId="0" fillId="0" borderId="0" xfId="0">
      <alignment vertical="center"/>
    </xf>
    <xf numFmtId="164" fontId="0" fillId="0" borderId="0" xfId="0" applyNumberFormat="1">
      <alignment vertical="center"/>
    </xf>
    <xf numFmtId="165" fontId="0" fillId="0" borderId="0" xfId="1" applyNumberFormat="1" applyFont="1" applyAlignment="1">
      <alignment vertical="center"/>
    </xf>
    <xf numFmtId="1" fontId="0" fillId="0" borderId="0" xfId="0" applyNumberFormat="1">
      <alignment vertical="center"/>
    </xf>
    <xf numFmtId="166" fontId="0" fillId="0" borderId="0" xfId="0" applyNumberFormat="1">
      <alignment vertical="center"/>
    </xf>
    <xf numFmtId="2" fontId="0" fillId="0" borderId="0" xfId="0" applyNumberFormat="1">
      <alignment vertical="center"/>
    </xf>
    <xf numFmtId="8" fontId="0" fillId="0" borderId="0" xfId="0" applyNumberFormat="1">
      <alignment vertical="center"/>
    </xf>
    <xf numFmtId="8" fontId="11" fillId="0" borderId="0" xfId="0" applyNumberFormat="1" applyFont="1">
      <alignment vertical="center"/>
    </xf>
    <xf numFmtId="0" fontId="11" fillId="0" borderId="0" xfId="0" applyFont="1">
      <alignment vertical="center"/>
    </xf>
    <xf numFmtId="167" fontId="0" fillId="0" borderId="0" xfId="0" applyNumberFormat="1">
      <alignment vertical="center"/>
    </xf>
    <xf numFmtId="6" fontId="11" fillId="0" borderId="0" xfId="0" applyNumberFormat="1" applyFont="1">
      <alignment vertical="center"/>
    </xf>
    <xf numFmtId="168" fontId="0" fillId="0" borderId="0" xfId="0" applyNumberFormat="1">
      <alignment vertical="center"/>
    </xf>
    <xf numFmtId="10" fontId="0" fillId="0" borderId="0" xfId="0" applyNumberFormat="1">
      <alignment vertical="center"/>
    </xf>
    <xf numFmtId="169" fontId="0" fillId="0" borderId="0" xfId="0" applyNumberFormat="1">
      <alignment vertical="center"/>
    </xf>
    <xf numFmtId="6" fontId="0" fillId="0" borderId="0" xfId="0" applyNumberFormat="1">
      <alignment vertical="center"/>
    </xf>
    <xf numFmtId="9" fontId="0" fillId="0" borderId="0" xfId="0" applyNumberFormat="1">
      <alignment vertical="center"/>
    </xf>
    <xf numFmtId="171" fontId="0" fillId="0" borderId="0" xfId="0" applyNumberFormat="1">
      <alignment vertical="center"/>
    </xf>
    <xf numFmtId="0" fontId="0" fillId="0" borderId="0" xfId="0" quotePrefix="1">
      <alignment vertical="center"/>
    </xf>
    <xf numFmtId="8" fontId="0" fillId="0" borderId="0" xfId="2" applyNumberFormat="1" applyFont="1" applyAlignment="1">
      <alignment vertical="center"/>
    </xf>
    <xf numFmtId="0" fontId="15" fillId="0" borderId="0" xfId="0" applyFont="1">
      <alignment vertical="center"/>
    </xf>
    <xf numFmtId="1" fontId="11" fillId="0" borderId="0" xfId="0" applyNumberFormat="1" applyFont="1">
      <alignment vertical="center"/>
    </xf>
    <xf numFmtId="6" fontId="24" fillId="4" borderId="10" xfId="20" applyNumberFormat="1" applyFont="1" applyFill="1" applyBorder="1" applyAlignment="1">
      <alignment vertical="center"/>
    </xf>
    <xf numFmtId="44" fontId="15" fillId="0" borderId="0" xfId="2" applyFont="1" applyFill="1" applyBorder="1" applyAlignment="1">
      <alignment vertical="center"/>
    </xf>
    <xf numFmtId="0" fontId="10" fillId="0" borderId="0" xfId="32">
      <alignment vertical="center"/>
    </xf>
    <xf numFmtId="1" fontId="10" fillId="0" borderId="0" xfId="32" applyNumberFormat="1">
      <alignment vertical="center"/>
    </xf>
    <xf numFmtId="164" fontId="10" fillId="0" borderId="0" xfId="32" applyNumberFormat="1">
      <alignment vertical="center"/>
    </xf>
    <xf numFmtId="6" fontId="10" fillId="0" borderId="0" xfId="32" applyNumberFormat="1">
      <alignment vertical="center"/>
    </xf>
    <xf numFmtId="170" fontId="0" fillId="0" borderId="0" xfId="33" applyNumberFormat="1" applyFont="1" applyAlignment="1">
      <alignment vertical="center"/>
    </xf>
    <xf numFmtId="166" fontId="10" fillId="0" borderId="0" xfId="32" applyNumberFormat="1">
      <alignment vertical="center"/>
    </xf>
    <xf numFmtId="9" fontId="10" fillId="0" borderId="0" xfId="3" applyFont="1" applyAlignment="1">
      <alignment vertical="center"/>
    </xf>
    <xf numFmtId="0" fontId="17" fillId="2" borderId="0" xfId="0" applyFont="1" applyFill="1">
      <alignment vertical="center"/>
    </xf>
    <xf numFmtId="0" fontId="0" fillId="5" borderId="0" xfId="0" applyFill="1">
      <alignment vertical="center"/>
    </xf>
    <xf numFmtId="9" fontId="0" fillId="5" borderId="0" xfId="0" applyNumberFormat="1" applyFill="1">
      <alignment vertical="center"/>
    </xf>
    <xf numFmtId="0" fontId="0" fillId="5" borderId="0" xfId="0" applyFill="1" applyAlignment="1">
      <alignment horizontal="left" vertical="center"/>
    </xf>
    <xf numFmtId="0" fontId="0" fillId="6" borderId="0" xfId="0" applyFill="1">
      <alignment vertical="center"/>
    </xf>
    <xf numFmtId="10" fontId="0" fillId="5" borderId="0" xfId="0" applyNumberFormat="1" applyFill="1">
      <alignment vertical="center"/>
    </xf>
    <xf numFmtId="175" fontId="0" fillId="0" borderId="0" xfId="0" applyNumberFormat="1">
      <alignment vertical="center"/>
    </xf>
    <xf numFmtId="2" fontId="17" fillId="2" borderId="0" xfId="0" applyNumberFormat="1" applyFont="1" applyFill="1">
      <alignment vertical="center"/>
    </xf>
    <xf numFmtId="171" fontId="17" fillId="2" borderId="0" xfId="0" applyNumberFormat="1" applyFont="1" applyFill="1">
      <alignment vertical="center"/>
    </xf>
    <xf numFmtId="1" fontId="17" fillId="2" borderId="0" xfId="0" applyNumberFormat="1" applyFont="1" applyFill="1">
      <alignment vertical="center"/>
    </xf>
    <xf numFmtId="166" fontId="17" fillId="2" borderId="0" xfId="0" applyNumberFormat="1" applyFont="1" applyFill="1">
      <alignment vertical="center"/>
    </xf>
    <xf numFmtId="166" fontId="15" fillId="0" borderId="0" xfId="0" applyNumberFormat="1" applyFont="1">
      <alignment vertical="center"/>
    </xf>
    <xf numFmtId="1" fontId="15" fillId="0" borderId="0" xfId="0" applyNumberFormat="1" applyFont="1">
      <alignment vertical="center"/>
    </xf>
    <xf numFmtId="1" fontId="15" fillId="0" borderId="0" xfId="2" applyNumberFormat="1" applyFont="1" applyFill="1" applyBorder="1" applyAlignment="1">
      <alignment vertical="center"/>
    </xf>
    <xf numFmtId="1" fontId="0" fillId="0" borderId="0" xfId="2" applyNumberFormat="1" applyFont="1" applyFill="1" applyAlignment="1">
      <alignment vertical="center"/>
    </xf>
    <xf numFmtId="1" fontId="0" fillId="5" borderId="0" xfId="0" applyNumberFormat="1" applyFill="1">
      <alignment vertical="center"/>
    </xf>
    <xf numFmtId="1" fontId="0" fillId="6" borderId="0" xfId="0" applyNumberFormat="1" applyFill="1">
      <alignment vertical="center"/>
    </xf>
    <xf numFmtId="11" fontId="0" fillId="0" borderId="0" xfId="0" applyNumberFormat="1">
      <alignment vertical="center"/>
    </xf>
    <xf numFmtId="166" fontId="15" fillId="0" borderId="0" xfId="0" quotePrefix="1" applyNumberFormat="1" applyFont="1">
      <alignment vertical="center"/>
    </xf>
    <xf numFmtId="176" fontId="0" fillId="0" borderId="0" xfId="0" applyNumberFormat="1">
      <alignment vertical="center"/>
    </xf>
    <xf numFmtId="6" fontId="17" fillId="2" borderId="0" xfId="0" applyNumberFormat="1" applyFont="1" applyFill="1">
      <alignment vertical="center"/>
    </xf>
    <xf numFmtId="6" fontId="15" fillId="0" borderId="0" xfId="0" applyNumberFormat="1" applyFont="1">
      <alignment vertical="center"/>
    </xf>
    <xf numFmtId="0" fontId="15" fillId="0" borderId="0" xfId="6" applyFont="1"/>
    <xf numFmtId="2" fontId="15" fillId="0" borderId="0" xfId="6" applyNumberFormat="1" applyFont="1"/>
    <xf numFmtId="1" fontId="15" fillId="0" borderId="0" xfId="6" applyNumberFormat="1" applyFont="1"/>
    <xf numFmtId="164" fontId="15" fillId="0" borderId="0" xfId="6" applyNumberFormat="1" applyFont="1"/>
    <xf numFmtId="166" fontId="15" fillId="0" borderId="0" xfId="6" applyNumberFormat="1" applyFont="1"/>
    <xf numFmtId="0" fontId="15" fillId="0" borderId="0" xfId="0" quotePrefix="1" applyFont="1">
      <alignment vertical="center"/>
    </xf>
    <xf numFmtId="9" fontId="15" fillId="0" borderId="0" xfId="0" applyNumberFormat="1" applyFont="1">
      <alignment vertical="center"/>
    </xf>
    <xf numFmtId="2" fontId="15" fillId="0" borderId="0" xfId="0" applyNumberFormat="1" applyFont="1">
      <alignment vertical="center"/>
    </xf>
    <xf numFmtId="164" fontId="0" fillId="0" borderId="0" xfId="2" applyNumberFormat="1" applyFont="1" applyFill="1" applyAlignment="1">
      <alignment vertical="center"/>
    </xf>
    <xf numFmtId="173" fontId="0" fillId="0" borderId="0" xfId="1" applyNumberFormat="1" applyFont="1" applyFill="1" applyAlignment="1">
      <alignment vertical="center"/>
    </xf>
    <xf numFmtId="165" fontId="0" fillId="0" borderId="0" xfId="0" applyNumberFormat="1">
      <alignment vertical="center"/>
    </xf>
    <xf numFmtId="9" fontId="17" fillId="2" borderId="0" xfId="0" applyNumberFormat="1" applyFont="1" applyFill="1">
      <alignment vertical="center"/>
    </xf>
    <xf numFmtId="8" fontId="17" fillId="2" borderId="0" xfId="0" applyNumberFormat="1" applyFont="1" applyFill="1">
      <alignment vertical="center"/>
    </xf>
    <xf numFmtId="164" fontId="17" fillId="2" borderId="0" xfId="0" applyNumberFormat="1" applyFont="1" applyFill="1">
      <alignment vertical="center"/>
    </xf>
    <xf numFmtId="167" fontId="17" fillId="2" borderId="0" xfId="0" applyNumberFormat="1" applyFont="1" applyFill="1">
      <alignment vertical="center"/>
    </xf>
    <xf numFmtId="0" fontId="10" fillId="0" borderId="0" xfId="32" quotePrefix="1">
      <alignment vertical="center"/>
    </xf>
    <xf numFmtId="6" fontId="10" fillId="0" borderId="0" xfId="32" quotePrefix="1" applyNumberFormat="1">
      <alignment vertical="center"/>
    </xf>
    <xf numFmtId="1" fontId="10" fillId="0" borderId="0" xfId="33" applyNumberFormat="1" applyFont="1" applyAlignment="1">
      <alignment vertical="center"/>
    </xf>
    <xf numFmtId="0" fontId="15" fillId="0" borderId="0" xfId="31" applyFont="1"/>
    <xf numFmtId="1" fontId="15" fillId="0" borderId="0" xfId="31" applyNumberFormat="1" applyFont="1"/>
    <xf numFmtId="174" fontId="15" fillId="0" borderId="0" xfId="34" applyNumberFormat="1" applyFont="1"/>
    <xf numFmtId="166" fontId="15" fillId="0" borderId="0" xfId="31" applyNumberFormat="1" applyFont="1"/>
    <xf numFmtId="6" fontId="15" fillId="0" borderId="0" xfId="31" applyNumberFormat="1" applyFont="1"/>
    <xf numFmtId="6" fontId="15" fillId="0" borderId="0" xfId="35" applyNumberFormat="1" applyFont="1"/>
    <xf numFmtId="177" fontId="0" fillId="0" borderId="0" xfId="2" applyNumberFormat="1" applyFont="1" applyAlignment="1">
      <alignment vertical="center"/>
    </xf>
    <xf numFmtId="1" fontId="0" fillId="0" borderId="0" xfId="2" applyNumberFormat="1" applyFont="1" applyAlignment="1">
      <alignment vertical="center"/>
    </xf>
    <xf numFmtId="8" fontId="15" fillId="0" borderId="0" xfId="0" applyNumberFormat="1" applyFont="1">
      <alignment vertical="center"/>
    </xf>
    <xf numFmtId="2" fontId="15" fillId="0" borderId="0" xfId="31" applyNumberFormat="1" applyFont="1"/>
    <xf numFmtId="178" fontId="0" fillId="0" borderId="0" xfId="0" applyNumberFormat="1">
      <alignment vertical="center"/>
    </xf>
    <xf numFmtId="0" fontId="17" fillId="0" borderId="0" xfId="0" applyFont="1">
      <alignment vertical="center"/>
    </xf>
    <xf numFmtId="6" fontId="17" fillId="0" borderId="0" xfId="0" applyNumberFormat="1" applyFont="1">
      <alignment vertical="center"/>
    </xf>
    <xf numFmtId="166" fontId="17" fillId="0" borderId="0" xfId="0" applyNumberFormat="1" applyFont="1">
      <alignment vertical="center"/>
    </xf>
    <xf numFmtId="171" fontId="0" fillId="0" borderId="0" xfId="0" quotePrefix="1" applyNumberFormat="1">
      <alignment vertical="center"/>
    </xf>
    <xf numFmtId="6" fontId="24" fillId="4" borderId="0" xfId="20" applyNumberFormat="1" applyFont="1" applyFill="1" applyBorder="1" applyAlignment="1">
      <alignment vertical="center"/>
    </xf>
    <xf numFmtId="168" fontId="15" fillId="0" borderId="0" xfId="19" applyNumberFormat="1" applyFont="1" applyAlignment="1">
      <alignment horizontal="right" vertical="center"/>
    </xf>
    <xf numFmtId="0" fontId="17" fillId="2" borderId="0" xfId="19" applyFont="1" applyFill="1" applyAlignment="1">
      <alignment vertical="center"/>
    </xf>
    <xf numFmtId="0" fontId="15" fillId="2" borderId="0" xfId="19" applyFont="1" applyFill="1" applyAlignment="1">
      <alignment vertical="center"/>
    </xf>
    <xf numFmtId="0" fontId="27" fillId="2" borderId="0" xfId="19" applyFont="1" applyFill="1" applyAlignment="1">
      <alignment vertical="center"/>
    </xf>
    <xf numFmtId="0" fontId="24" fillId="2" borderId="0" xfId="19" applyFont="1" applyFill="1" applyAlignment="1">
      <alignment vertical="center"/>
    </xf>
    <xf numFmtId="0" fontId="17" fillId="0" borderId="0" xfId="19" applyFont="1" applyAlignment="1">
      <alignment vertical="center"/>
    </xf>
    <xf numFmtId="0" fontId="17" fillId="0" borderId="0" xfId="19" applyFont="1" applyAlignment="1">
      <alignment horizontal="center" vertical="center"/>
    </xf>
    <xf numFmtId="0" fontId="27" fillId="0" borderId="0" xfId="19" applyFont="1" applyAlignment="1">
      <alignment vertical="center"/>
    </xf>
    <xf numFmtId="0" fontId="24" fillId="0" borderId="0" xfId="19" applyFont="1" applyAlignment="1">
      <alignment horizontal="center" vertical="center"/>
    </xf>
    <xf numFmtId="0" fontId="15" fillId="0" borderId="0" xfId="19" applyFont="1" applyAlignment="1">
      <alignment vertical="center"/>
    </xf>
    <xf numFmtId="3" fontId="28" fillId="0" borderId="0" xfId="19" applyNumberFormat="1" applyFont="1" applyAlignment="1">
      <alignment vertical="center"/>
    </xf>
    <xf numFmtId="0" fontId="15" fillId="0" borderId="0" xfId="19" applyFont="1" applyAlignment="1">
      <alignment horizontal="left" vertical="center"/>
    </xf>
    <xf numFmtId="0" fontId="15" fillId="0" borderId="0" xfId="19" applyFont="1" applyAlignment="1">
      <alignment horizontal="center" vertical="center"/>
    </xf>
    <xf numFmtId="0" fontId="24" fillId="0" borderId="0" xfId="19" applyFont="1" applyAlignment="1">
      <alignment horizontal="left" vertical="center"/>
    </xf>
    <xf numFmtId="4" fontId="27" fillId="0" borderId="0" xfId="22" applyNumberFormat="1" applyFont="1" applyFill="1" applyBorder="1" applyAlignment="1">
      <alignment vertical="center"/>
    </xf>
    <xf numFmtId="4" fontId="27" fillId="0" borderId="0" xfId="19" applyNumberFormat="1" applyFont="1" applyAlignment="1">
      <alignment vertical="center"/>
    </xf>
    <xf numFmtId="172" fontId="27" fillId="0" borderId="0" xfId="19" applyNumberFormat="1" applyFont="1" applyAlignment="1">
      <alignment vertical="center"/>
    </xf>
    <xf numFmtId="3" fontId="27" fillId="0" borderId="0" xfId="19" applyNumberFormat="1" applyFont="1" applyAlignment="1">
      <alignment vertical="center"/>
    </xf>
    <xf numFmtId="0" fontId="27" fillId="0" borderId="0" xfId="19" applyFont="1" applyAlignment="1">
      <alignment vertical="center" wrapText="1"/>
    </xf>
    <xf numFmtId="164" fontId="15" fillId="0" borderId="0" xfId="19" applyNumberFormat="1" applyFont="1" applyAlignment="1">
      <alignment vertical="center"/>
    </xf>
    <xf numFmtId="0" fontId="27" fillId="0" borderId="0" xfId="19" applyFont="1" applyAlignment="1">
      <alignment horizontal="left" vertical="center"/>
    </xf>
    <xf numFmtId="0" fontId="24" fillId="0" borderId="0" xfId="19" applyFont="1" applyAlignment="1">
      <alignment vertical="center"/>
    </xf>
    <xf numFmtId="6" fontId="15" fillId="0" borderId="0" xfId="19" applyNumberFormat="1" applyFont="1" applyAlignment="1">
      <alignment vertical="center"/>
    </xf>
    <xf numFmtId="3" fontId="15" fillId="0" borderId="0" xfId="19" applyNumberFormat="1" applyFont="1" applyAlignment="1">
      <alignment vertical="center"/>
    </xf>
    <xf numFmtId="3" fontId="27" fillId="2" borderId="0" xfId="19" applyNumberFormat="1" applyFont="1" applyFill="1" applyAlignment="1">
      <alignment vertical="center"/>
    </xf>
    <xf numFmtId="172" fontId="27" fillId="2" borderId="0" xfId="19" applyNumberFormat="1" applyFont="1" applyFill="1" applyAlignment="1">
      <alignment vertical="center"/>
    </xf>
    <xf numFmtId="4" fontId="27" fillId="2" borderId="0" xfId="19" applyNumberFormat="1" applyFont="1" applyFill="1" applyAlignment="1">
      <alignment vertical="center"/>
    </xf>
    <xf numFmtId="0" fontId="27" fillId="0" borderId="0" xfId="19" applyFont="1" applyAlignment="1">
      <alignment horizontal="left" vertical="center" wrapText="1"/>
    </xf>
    <xf numFmtId="165" fontId="27" fillId="0" borderId="0" xfId="24" applyNumberFormat="1" applyFont="1" applyFill="1" applyBorder="1" applyAlignment="1">
      <alignment vertical="center"/>
    </xf>
    <xf numFmtId="1" fontId="15" fillId="6" borderId="0" xfId="21" applyNumberFormat="1" applyFont="1" applyFill="1" applyBorder="1" applyAlignment="1">
      <alignment horizontal="right" vertical="center"/>
    </xf>
    <xf numFmtId="10" fontId="27" fillId="0" borderId="0" xfId="21" applyNumberFormat="1" applyFont="1" applyFill="1" applyBorder="1" applyAlignment="1">
      <alignment vertical="center"/>
    </xf>
    <xf numFmtId="9" fontId="27" fillId="0" borderId="0" xfId="21" applyFont="1" applyFill="1" applyBorder="1" applyAlignment="1">
      <alignment vertical="center"/>
    </xf>
    <xf numFmtId="168" fontId="27" fillId="0" borderId="0" xfId="21" applyNumberFormat="1" applyFont="1" applyFill="1" applyBorder="1" applyAlignment="1">
      <alignment vertical="center"/>
    </xf>
    <xf numFmtId="9" fontId="27" fillId="0" borderId="0" xfId="19" applyNumberFormat="1" applyFont="1" applyAlignment="1">
      <alignment vertical="center"/>
    </xf>
    <xf numFmtId="8" fontId="27" fillId="0" borderId="0" xfId="19" applyNumberFormat="1" applyFont="1" applyAlignment="1">
      <alignment vertical="center"/>
    </xf>
    <xf numFmtId="0" fontId="27" fillId="6" borderId="0" xfId="19" applyFont="1" applyFill="1" applyAlignment="1">
      <alignment vertical="center"/>
    </xf>
    <xf numFmtId="1" fontId="27" fillId="6" borderId="0" xfId="19" applyNumberFormat="1" applyFont="1" applyFill="1" applyAlignment="1">
      <alignment vertical="center"/>
    </xf>
    <xf numFmtId="0" fontId="27" fillId="0" borderId="0" xfId="19" applyFont="1" applyAlignment="1">
      <alignment horizontal="center" vertical="center"/>
    </xf>
    <xf numFmtId="6" fontId="27" fillId="0" borderId="0" xfId="19" applyNumberFormat="1" applyFont="1" applyAlignment="1">
      <alignment vertical="center"/>
    </xf>
    <xf numFmtId="0" fontId="27" fillId="0" borderId="0" xfId="25" applyNumberFormat="1" applyFont="1" applyFill="1" applyBorder="1" applyAlignment="1">
      <alignment vertical="center"/>
    </xf>
    <xf numFmtId="1" fontId="27" fillId="0" borderId="0" xfId="25" applyNumberFormat="1" applyFont="1" applyFill="1" applyBorder="1" applyAlignment="1">
      <alignment vertical="center"/>
    </xf>
    <xf numFmtId="0" fontId="24" fillId="0" borderId="0" xfId="19" applyFont="1" applyAlignment="1">
      <alignment vertical="center" wrapText="1"/>
    </xf>
    <xf numFmtId="0" fontId="15" fillId="0" borderId="0" xfId="19" applyFont="1" applyAlignment="1">
      <alignment horizontal="left" vertical="center" wrapText="1"/>
    </xf>
    <xf numFmtId="3" fontId="24" fillId="0" borderId="0" xfId="20" applyNumberFormat="1" applyFont="1" applyFill="1" applyBorder="1" applyAlignment="1">
      <alignment horizontal="right" vertical="center"/>
    </xf>
    <xf numFmtId="3" fontId="24" fillId="0" borderId="3" xfId="20" applyNumberFormat="1" applyFont="1" applyFill="1" applyBorder="1" applyAlignment="1">
      <alignment horizontal="right" vertical="center"/>
    </xf>
    <xf numFmtId="0" fontId="17" fillId="0" borderId="1" xfId="19" applyFont="1" applyBorder="1" applyAlignment="1">
      <alignment horizontal="center" vertical="center"/>
    </xf>
    <xf numFmtId="4" fontId="24" fillId="0" borderId="1" xfId="20" applyNumberFormat="1" applyFont="1" applyFill="1" applyBorder="1" applyAlignment="1">
      <alignment horizontal="right" vertical="center"/>
    </xf>
    <xf numFmtId="0" fontId="24" fillId="0" borderId="1" xfId="19" applyFont="1" applyBorder="1" applyAlignment="1">
      <alignment horizontal="right" vertical="center"/>
    </xf>
    <xf numFmtId="0" fontId="24" fillId="0" borderId="5" xfId="19" applyFont="1" applyBorder="1" applyAlignment="1">
      <alignment horizontal="right" vertical="center"/>
    </xf>
    <xf numFmtId="0" fontId="15" fillId="0" borderId="9" xfId="19" applyFont="1" applyBorder="1" applyAlignment="1">
      <alignment vertical="center"/>
    </xf>
    <xf numFmtId="3" fontId="27" fillId="2" borderId="0" xfId="20" applyNumberFormat="1" applyFont="1" applyFill="1" applyBorder="1" applyAlignment="1">
      <alignment vertical="center"/>
    </xf>
    <xf numFmtId="9" fontId="27" fillId="0" borderId="8" xfId="19" applyNumberFormat="1" applyFont="1" applyBorder="1" applyAlignment="1">
      <alignment vertical="center"/>
    </xf>
    <xf numFmtId="9" fontId="27" fillId="0" borderId="3" xfId="19" applyNumberFormat="1" applyFont="1" applyBorder="1" applyAlignment="1">
      <alignment vertical="center"/>
    </xf>
    <xf numFmtId="0" fontId="15" fillId="0" borderId="4" xfId="19" applyFont="1" applyBorder="1" applyAlignment="1">
      <alignment vertical="center"/>
    </xf>
    <xf numFmtId="3" fontId="27" fillId="2" borderId="1" xfId="20" applyNumberFormat="1" applyFont="1" applyFill="1" applyBorder="1" applyAlignment="1">
      <alignment vertical="center"/>
    </xf>
    <xf numFmtId="9" fontId="27" fillId="0" borderId="1" xfId="19" applyNumberFormat="1" applyFont="1" applyBorder="1" applyAlignment="1">
      <alignment vertical="center"/>
    </xf>
    <xf numFmtId="9" fontId="27" fillId="0" borderId="5" xfId="19" applyNumberFormat="1" applyFont="1" applyBorder="1" applyAlignment="1">
      <alignment vertical="center"/>
    </xf>
    <xf numFmtId="3" fontId="27" fillId="0" borderId="0" xfId="20" applyNumberFormat="1" applyFont="1" applyFill="1" applyBorder="1" applyAlignment="1">
      <alignment vertical="center"/>
    </xf>
    <xf numFmtId="2" fontId="27" fillId="0" borderId="0" xfId="19" applyNumberFormat="1" applyFont="1" applyAlignment="1">
      <alignment vertical="center"/>
    </xf>
    <xf numFmtId="0" fontId="17" fillId="0" borderId="7" xfId="19" applyFont="1" applyBorder="1" applyAlignment="1">
      <alignment vertical="center"/>
    </xf>
    <xf numFmtId="4" fontId="24" fillId="0" borderId="8" xfId="20" applyNumberFormat="1" applyFont="1" applyFill="1" applyBorder="1" applyAlignment="1">
      <alignment horizontal="center" vertical="center"/>
    </xf>
    <xf numFmtId="0" fontId="24" fillId="0" borderId="4" xfId="19" applyFont="1" applyBorder="1" applyAlignment="1">
      <alignment horizontal="left" vertical="center" wrapText="1"/>
    </xf>
    <xf numFmtId="4" fontId="24" fillId="0" borderId="5" xfId="20" applyNumberFormat="1" applyFont="1" applyFill="1" applyBorder="1" applyAlignment="1">
      <alignment horizontal="center" vertical="center"/>
    </xf>
    <xf numFmtId="0" fontId="27" fillId="0" borderId="9" xfId="19" applyFont="1" applyBorder="1" applyAlignment="1">
      <alignment vertical="center" wrapText="1"/>
    </xf>
    <xf numFmtId="3" fontId="27" fillId="2" borderId="3" xfId="20" applyNumberFormat="1" applyFont="1" applyFill="1" applyBorder="1" applyAlignment="1">
      <alignment vertical="center"/>
    </xf>
    <xf numFmtId="0" fontId="27" fillId="0" borderId="4" xfId="19" applyFont="1" applyBorder="1" applyAlignment="1">
      <alignment vertical="center" wrapText="1"/>
    </xf>
    <xf numFmtId="3" fontId="27" fillId="2" borderId="5" xfId="20" applyNumberFormat="1" applyFont="1" applyFill="1" applyBorder="1" applyAlignment="1">
      <alignment vertical="center"/>
    </xf>
    <xf numFmtId="0" fontId="27" fillId="2" borderId="0" xfId="19" applyFont="1" applyFill="1" applyAlignment="1">
      <alignment vertical="center" wrapText="1"/>
    </xf>
    <xf numFmtId="4" fontId="27" fillId="2" borderId="0" xfId="20" applyNumberFormat="1" applyFont="1" applyFill="1" applyBorder="1" applyAlignment="1">
      <alignment vertical="center"/>
    </xf>
    <xf numFmtId="0" fontId="24" fillId="0" borderId="9" xfId="19" applyFont="1" applyBorder="1" applyAlignment="1">
      <alignment horizontal="left" vertical="center"/>
    </xf>
    <xf numFmtId="0" fontId="27" fillId="0" borderId="3" xfId="19" applyFont="1" applyBorder="1" applyAlignment="1">
      <alignment horizontal="center" vertical="center"/>
    </xf>
    <xf numFmtId="0" fontId="24" fillId="0" borderId="4" xfId="19" applyFont="1" applyBorder="1" applyAlignment="1">
      <alignment horizontal="left" vertical="center"/>
    </xf>
    <xf numFmtId="1" fontId="27" fillId="0" borderId="1" xfId="19" applyNumberFormat="1" applyFont="1" applyBorder="1" applyAlignment="1">
      <alignment horizontal="center" vertical="center"/>
    </xf>
    <xf numFmtId="1" fontId="27" fillId="0" borderId="5" xfId="19" applyNumberFormat="1" applyFont="1" applyBorder="1" applyAlignment="1">
      <alignment horizontal="center" vertical="center"/>
    </xf>
    <xf numFmtId="165" fontId="15" fillId="0" borderId="0" xfId="20" applyNumberFormat="1" applyFont="1" applyFill="1" applyBorder="1" applyAlignment="1">
      <alignment vertical="center"/>
    </xf>
    <xf numFmtId="2" fontId="15" fillId="0" borderId="0" xfId="26" applyNumberFormat="1" applyFont="1" applyFill="1" applyBorder="1" applyAlignment="1">
      <alignment vertical="center"/>
    </xf>
    <xf numFmtId="2" fontId="15" fillId="0" borderId="0" xfId="24" applyNumberFormat="1" applyFont="1" applyFill="1" applyBorder="1" applyAlignment="1">
      <alignment vertical="center"/>
    </xf>
    <xf numFmtId="9" fontId="15" fillId="2" borderId="0" xfId="26" applyNumberFormat="1" applyFont="1" applyFill="1" applyBorder="1" applyAlignment="1">
      <alignment vertical="center"/>
    </xf>
    <xf numFmtId="9" fontId="27" fillId="2" borderId="0" xfId="26" applyNumberFormat="1" applyFont="1" applyFill="1" applyBorder="1" applyAlignment="1">
      <alignment vertical="center"/>
    </xf>
    <xf numFmtId="9" fontId="15" fillId="0" borderId="0" xfId="19" applyNumberFormat="1" applyFont="1" applyAlignment="1">
      <alignment vertical="center"/>
    </xf>
    <xf numFmtId="0" fontId="15" fillId="0" borderId="7" xfId="19" applyFont="1" applyBorder="1" applyAlignment="1">
      <alignment horizontal="left" vertical="center"/>
    </xf>
    <xf numFmtId="9" fontId="15" fillId="0" borderId="6" xfId="21" applyFont="1" applyFill="1" applyBorder="1" applyAlignment="1">
      <alignment vertical="center"/>
    </xf>
    <xf numFmtId="3" fontId="15" fillId="0" borderId="6" xfId="25" applyNumberFormat="1" applyFont="1" applyFill="1" applyBorder="1" applyAlignment="1">
      <alignment vertical="center"/>
    </xf>
    <xf numFmtId="3" fontId="15" fillId="0" borderId="8" xfId="25" applyNumberFormat="1" applyFont="1" applyFill="1" applyBorder="1" applyAlignment="1">
      <alignment vertical="center"/>
    </xf>
    <xf numFmtId="3" fontId="15" fillId="0" borderId="0" xfId="20" applyNumberFormat="1" applyFont="1" applyFill="1" applyBorder="1" applyAlignment="1">
      <alignment vertical="center"/>
    </xf>
    <xf numFmtId="0" fontId="15" fillId="0" borderId="9" xfId="19" applyFont="1" applyBorder="1" applyAlignment="1">
      <alignment horizontal="left" vertical="center"/>
    </xf>
    <xf numFmtId="3" fontId="15" fillId="0" borderId="3" xfId="19" applyNumberFormat="1" applyFont="1" applyBorder="1" applyAlignment="1">
      <alignment vertical="center"/>
    </xf>
    <xf numFmtId="0" fontId="27" fillId="0" borderId="4" xfId="19" applyFont="1" applyBorder="1" applyAlignment="1">
      <alignment horizontal="left" vertical="center" wrapText="1"/>
    </xf>
    <xf numFmtId="3" fontId="15" fillId="0" borderId="1" xfId="19" applyNumberFormat="1" applyFont="1" applyBorder="1" applyAlignment="1">
      <alignment vertical="center"/>
    </xf>
    <xf numFmtId="3" fontId="15" fillId="0" borderId="5" xfId="19" applyNumberFormat="1" applyFont="1" applyBorder="1" applyAlignment="1">
      <alignment vertical="center"/>
    </xf>
    <xf numFmtId="3" fontId="15" fillId="0" borderId="6" xfId="19" applyNumberFormat="1" applyFont="1" applyBorder="1" applyAlignment="1">
      <alignment vertical="center"/>
    </xf>
    <xf numFmtId="3" fontId="15" fillId="0" borderId="8" xfId="19" applyNumberFormat="1" applyFont="1" applyBorder="1" applyAlignment="1">
      <alignment vertical="center"/>
    </xf>
    <xf numFmtId="0" fontId="27" fillId="0" borderId="9" xfId="19" applyFont="1" applyBorder="1" applyAlignment="1">
      <alignment horizontal="left" vertical="center" wrapText="1"/>
    </xf>
    <xf numFmtId="3" fontId="15" fillId="0" borderId="0" xfId="26" applyNumberFormat="1" applyFont="1" applyFill="1" applyBorder="1" applyAlignment="1">
      <alignment vertical="center"/>
    </xf>
    <xf numFmtId="3" fontId="27" fillId="0" borderId="0" xfId="26" applyNumberFormat="1" applyFont="1" applyFill="1" applyBorder="1" applyAlignment="1">
      <alignment vertical="center"/>
    </xf>
    <xf numFmtId="10" fontId="15" fillId="0" borderId="0" xfId="21" applyNumberFormat="1" applyFont="1" applyFill="1" applyBorder="1" applyAlignment="1">
      <alignment vertical="center"/>
    </xf>
    <xf numFmtId="3" fontId="15" fillId="0" borderId="0" xfId="19" quotePrefix="1" applyNumberFormat="1" applyFont="1" applyAlignment="1">
      <alignment vertical="center"/>
    </xf>
    <xf numFmtId="165" fontId="15" fillId="2" borderId="0" xfId="25" applyNumberFormat="1" applyFont="1" applyFill="1" applyBorder="1" applyAlignment="1">
      <alignment vertical="center"/>
    </xf>
    <xf numFmtId="165" fontId="27" fillId="2" borderId="0" xfId="25" applyNumberFormat="1" applyFont="1" applyFill="1" applyBorder="1" applyAlignment="1">
      <alignment vertical="center"/>
    </xf>
    <xf numFmtId="3" fontId="15" fillId="0" borderId="0" xfId="24" applyNumberFormat="1" applyFont="1" applyBorder="1" applyAlignment="1">
      <alignment horizontal="right" vertical="center"/>
    </xf>
    <xf numFmtId="3" fontId="15" fillId="0" borderId="0" xfId="24" applyNumberFormat="1" applyFont="1" applyBorder="1" applyAlignment="1">
      <alignment vertical="center"/>
    </xf>
    <xf numFmtId="4" fontId="15" fillId="0" borderId="0" xfId="24" applyNumberFormat="1" applyFont="1" applyBorder="1" applyAlignment="1">
      <alignment horizontal="right" vertical="center"/>
    </xf>
    <xf numFmtId="4" fontId="15" fillId="0" borderId="0" xfId="24" applyNumberFormat="1" applyFont="1" applyBorder="1" applyAlignment="1">
      <alignment vertical="center"/>
    </xf>
    <xf numFmtId="3" fontId="15" fillId="2" borderId="0" xfId="24" applyNumberFormat="1" applyFont="1" applyFill="1" applyBorder="1" applyAlignment="1">
      <alignment vertical="center"/>
    </xf>
    <xf numFmtId="3" fontId="27" fillId="2" borderId="0" xfId="24" applyNumberFormat="1" applyFont="1" applyFill="1" applyBorder="1" applyAlignment="1">
      <alignment vertical="center"/>
    </xf>
    <xf numFmtId="3" fontId="15" fillId="0" borderId="0" xfId="25" applyNumberFormat="1" applyFont="1" applyAlignment="1">
      <alignment vertical="center"/>
    </xf>
    <xf numFmtId="3" fontId="27" fillId="0" borderId="0" xfId="24" applyNumberFormat="1" applyFont="1" applyBorder="1" applyAlignment="1">
      <alignment vertical="center"/>
    </xf>
    <xf numFmtId="0" fontId="17" fillId="0" borderId="1" xfId="19" applyFont="1" applyBorder="1" applyAlignment="1">
      <alignment vertical="center"/>
    </xf>
    <xf numFmtId="3" fontId="15" fillId="2" borderId="0" xfId="19" applyNumberFormat="1" applyFont="1" applyFill="1" applyAlignment="1">
      <alignment vertical="center"/>
    </xf>
    <xf numFmtId="3" fontId="17" fillId="7" borderId="11" xfId="20" applyNumberFormat="1" applyFont="1" applyFill="1" applyBorder="1" applyAlignment="1">
      <alignment vertical="center"/>
    </xf>
    <xf numFmtId="0" fontId="0" fillId="2" borderId="0" xfId="0" applyFill="1">
      <alignment vertical="center"/>
    </xf>
    <xf numFmtId="1" fontId="0" fillId="2" borderId="0" xfId="0" applyNumberFormat="1" applyFill="1">
      <alignment vertical="center"/>
    </xf>
    <xf numFmtId="6" fontId="0" fillId="2" borderId="0" xfId="0" applyNumberFormat="1" applyFill="1">
      <alignment vertical="center"/>
    </xf>
    <xf numFmtId="8" fontId="0" fillId="2" borderId="0" xfId="0" applyNumberFormat="1" applyFill="1">
      <alignment vertical="center"/>
    </xf>
    <xf numFmtId="0" fontId="17" fillId="5" borderId="0" xfId="0" applyFont="1" applyFill="1">
      <alignment vertical="center"/>
    </xf>
    <xf numFmtId="9" fontId="0" fillId="6" borderId="0" xfId="0" applyNumberFormat="1" applyFill="1">
      <alignment vertical="center"/>
    </xf>
    <xf numFmtId="164" fontId="15" fillId="0" borderId="0" xfId="0" applyNumberFormat="1" applyFont="1">
      <alignment vertical="center"/>
    </xf>
    <xf numFmtId="0" fontId="29" fillId="0" borderId="0" xfId="40">
      <alignment vertical="center"/>
    </xf>
    <xf numFmtId="179" fontId="0" fillId="0" borderId="0" xfId="0" applyNumberFormat="1">
      <alignment vertical="center"/>
    </xf>
    <xf numFmtId="180" fontId="0" fillId="0" borderId="0" xfId="0" applyNumberFormat="1">
      <alignment vertical="center"/>
    </xf>
    <xf numFmtId="168" fontId="15" fillId="0" borderId="0" xfId="0" applyNumberFormat="1" applyFont="1">
      <alignment vertical="center"/>
    </xf>
    <xf numFmtId="10" fontId="15" fillId="6" borderId="0" xfId="21" applyNumberFormat="1" applyFont="1" applyFill="1" applyBorder="1" applyAlignment="1">
      <alignment horizontal="right" vertical="center"/>
    </xf>
    <xf numFmtId="9" fontId="15" fillId="0" borderId="0" xfId="19" applyNumberFormat="1" applyFont="1" applyAlignment="1">
      <alignment horizontal="right" vertical="center"/>
    </xf>
    <xf numFmtId="1" fontId="15" fillId="0" borderId="0" xfId="19" applyNumberFormat="1" applyFont="1" applyAlignment="1">
      <alignment horizontal="right" vertical="center"/>
    </xf>
    <xf numFmtId="168" fontId="0" fillId="5" borderId="0" xfId="0" applyNumberFormat="1" applyFill="1">
      <alignment vertical="center"/>
    </xf>
    <xf numFmtId="0" fontId="0" fillId="0" borderId="0" xfId="0" applyAlignment="1">
      <alignment horizontal="right" vertical="center"/>
    </xf>
    <xf numFmtId="168" fontId="0" fillId="2" borderId="0" xfId="0" applyNumberFormat="1" applyFill="1">
      <alignment vertical="center"/>
    </xf>
    <xf numFmtId="9" fontId="0" fillId="2" borderId="0" xfId="0" applyNumberFormat="1" applyFill="1">
      <alignment vertical="center"/>
    </xf>
    <xf numFmtId="164" fontId="0" fillId="0" borderId="0" xfId="0" applyNumberFormat="1" applyAlignment="1"/>
    <xf numFmtId="0" fontId="0" fillId="0" borderId="0" xfId="0" applyAlignment="1">
      <alignment vertical="center" wrapText="1"/>
    </xf>
    <xf numFmtId="0" fontId="31" fillId="0" borderId="0" xfId="0" applyFont="1">
      <alignment vertical="center"/>
    </xf>
    <xf numFmtId="168" fontId="15" fillId="6" borderId="0" xfId="19" applyNumberFormat="1" applyFont="1" applyFill="1" applyAlignment="1">
      <alignment horizontal="right" vertical="center"/>
    </xf>
    <xf numFmtId="168" fontId="15" fillId="6" borderId="0" xfId="21" applyNumberFormat="1" applyFont="1" applyFill="1" applyBorder="1" applyAlignment="1">
      <alignment vertical="center"/>
    </xf>
    <xf numFmtId="0" fontId="0" fillId="2" borderId="0" xfId="0" applyFill="1" applyAlignment="1">
      <alignment horizontal="right" vertical="center"/>
    </xf>
    <xf numFmtId="1" fontId="0" fillId="2" borderId="0" xfId="0" applyNumberFormat="1" applyFill="1" applyAlignment="1">
      <alignment horizontal="center" vertical="center"/>
    </xf>
    <xf numFmtId="0" fontId="29" fillId="0" borderId="0" xfId="40" applyAlignment="1">
      <alignment vertical="center"/>
    </xf>
    <xf numFmtId="9" fontId="0" fillId="0" borderId="0" xfId="3" applyFont="1" applyAlignment="1">
      <alignment vertical="center"/>
    </xf>
    <xf numFmtId="1" fontId="0" fillId="5" borderId="0" xfId="0" applyNumberFormat="1" applyFill="1" applyAlignment="1">
      <alignment horizontal="right" vertical="center"/>
    </xf>
    <xf numFmtId="164" fontId="15" fillId="0" borderId="0" xfId="31" applyNumberFormat="1" applyFont="1"/>
  </cellXfs>
  <cellStyles count="41">
    <cellStyle name="Comma" xfId="1" builtinId="3"/>
    <cellStyle name="Comma 2" xfId="7" xr:uid="{6CE6847E-17F6-4266-9735-CEEB2090570A}"/>
    <cellStyle name="Comma 2 2" xfId="28" xr:uid="{2449C09E-E98D-4B1E-85B4-6C24B7ABC3C8}"/>
    <cellStyle name="Comma 3" xfId="17" xr:uid="{65A8BFEA-72BA-422D-ABC4-FDFD3909297A}"/>
    <cellStyle name="Comma 6 2" xfId="25" xr:uid="{C530F9CE-6683-4ED2-845C-BDED41C67C04}"/>
    <cellStyle name="Comma 7" xfId="24" xr:uid="{67EBC1B0-7400-4062-8C94-0C140AC8F8E1}"/>
    <cellStyle name="Comma 8" xfId="20" xr:uid="{C3EEB720-585A-455B-B9FE-8377C81CC659}"/>
    <cellStyle name="Currency" xfId="2" builtinId="4"/>
    <cellStyle name="Currency 2" xfId="9" xr:uid="{7386CECB-613E-4776-A247-571B72533B12}"/>
    <cellStyle name="Currency 2 2" xfId="30" xr:uid="{11BE7744-8350-425E-AEEB-D56C5CBBC693}"/>
    <cellStyle name="Currency 3" xfId="22" xr:uid="{A61C98EF-B5A9-42FD-968A-A8408B5B3E8C}"/>
    <cellStyle name="Currency 4" xfId="33" xr:uid="{03C501D6-E773-4B8D-B645-1C90AA69F2B7}"/>
    <cellStyle name="Currency 4 2" xfId="26" xr:uid="{B37F1D5A-CBEB-4CE8-803D-059ADA70C044}"/>
    <cellStyle name="Currency 5" xfId="38" xr:uid="{6C38B9BB-A0A1-4C19-8663-64FEE1BDB4A0}"/>
    <cellStyle name="Hyperlink" xfId="40" builtinId="8"/>
    <cellStyle name="Hyperlink 2" xfId="36" xr:uid="{4917C2D0-FF1E-4EFB-89B7-55B4718C3A6B}"/>
    <cellStyle name="Normal" xfId="0" builtinId="0"/>
    <cellStyle name="Normal 13 2" xfId="19" xr:uid="{85675BBA-A1CE-43D1-B8E0-2B81276D438F}"/>
    <cellStyle name="Normal 2" xfId="4" xr:uid="{F6632B2B-FB50-4ED6-99E4-15DF9D96BA3A}"/>
    <cellStyle name="Normal 2 2" xfId="10" xr:uid="{DD7A73AE-7BC3-4363-BEB4-A669E30F7757}"/>
    <cellStyle name="Normal 2 3" xfId="32" xr:uid="{4D5E6147-E521-479E-B1F3-6A3DA40ABE48}"/>
    <cellStyle name="Normal 3" xfId="5" xr:uid="{81F1D3FF-8EAB-4794-BE5B-470AA0FD2729}"/>
    <cellStyle name="Normal 3 2" xfId="13" xr:uid="{00CDC774-4FE9-4C3C-86A6-8C3D35354656}"/>
    <cellStyle name="Normal 4" xfId="6" xr:uid="{3D76B246-6A42-447D-AA59-94D2C57352A6}"/>
    <cellStyle name="Normal 4 2" xfId="27" xr:uid="{0F8F4D3F-0CD7-4889-BF93-2DC411188CC3}"/>
    <cellStyle name="Normal 5" xfId="11" xr:uid="{302D8ACE-146D-4CE3-BFCA-5EF441A43E3E}"/>
    <cellStyle name="Normal 6" xfId="15" xr:uid="{D99F1438-903B-4C5E-9397-7F4E9C51F456}"/>
    <cellStyle name="Normal 7" xfId="16" xr:uid="{8E68163E-41F5-4D50-89C9-89B640FA0207}"/>
    <cellStyle name="Normal 7 2" xfId="39" xr:uid="{753A8217-132B-4A4C-855E-F6E18BB54B15}"/>
    <cellStyle name="Normal 8" xfId="31" xr:uid="{149EB4D3-61FF-4CFF-B056-44A7DCCDB52E}"/>
    <cellStyle name="Normal 9" xfId="35" xr:uid="{996E49BF-48A9-46F1-9122-3DCEEB3FF191}"/>
    <cellStyle name="Output 2" xfId="23" xr:uid="{B7E8B983-482D-496C-9CAF-1E75824582EC}"/>
    <cellStyle name="Percent" xfId="3" builtinId="5"/>
    <cellStyle name="Percent 2" xfId="8" xr:uid="{AB3C79AF-2153-446C-90EF-4E5DE7DE2A8C}"/>
    <cellStyle name="Percent 2 2" xfId="29" xr:uid="{10AFCF61-0CC3-47D4-83DA-A101EC18A81A}"/>
    <cellStyle name="Percent 3" xfId="18" xr:uid="{71C835A0-27F7-4DA3-9182-56C1FA40525B}"/>
    <cellStyle name="Percent 4" xfId="21" xr:uid="{26011241-02AA-42BD-9F2F-DF91F63BB091}"/>
    <cellStyle name="Percent 5" xfId="34" xr:uid="{CA314085-FBDA-407A-B6C2-FA1E9B845052}"/>
    <cellStyle name="Percent 6" xfId="37" xr:uid="{9B12AE2B-88A0-4003-B4C9-5FE5893D7C9C}"/>
    <cellStyle name="Source Text" xfId="14" xr:uid="{B2A1C614-0C40-41E1-B7F7-E073DF44B7D2}"/>
    <cellStyle name="Title-2" xfId="12" xr:uid="{14C68D84-2AA6-4FE2-9281-B83D106BC197}"/>
  </cellStyles>
  <dxfs count="0"/>
  <tableStyles count="0" defaultTableStyle="TableStyleMedium2" defaultPivotStyle="PivotStyleLight16"/>
  <colors>
    <mruColors>
      <color rgb="FFC5D9F1"/>
      <color rgb="FFFF3399"/>
      <color rgb="FFFCD5B4"/>
      <color rgb="FFE4DFEC"/>
      <color rgb="FFE4DFE2"/>
      <color rgb="FF006A5C"/>
      <color rgb="FF1901F6"/>
      <color rgb="FF0DA777"/>
      <color rgb="FF03EFC8"/>
      <color rgb="FF02907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4.xml"/><Relationship Id="rId14" Type="http://schemas.openxmlformats.org/officeDocument/2006/relationships/calcChain" Target="calcChain.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plotSurface>
          <cx:spPr>
            <a:ln>
              <a:solidFill>
                <a:schemeClr val="tx1"/>
              </a:solidFill>
            </a:ln>
          </cx:spPr>
        </cx:plotSurface>
        <cx:series layoutId="waterfall" uniqueId="{DCBB72AC-8550-47BB-B703-A3026FA2DEBC}">
          <cx:dataLabels>
            <cx:txPr>
              <a:bodyPr spcFirstLastPara="1" vertOverflow="ellipsis" horzOverflow="overflow" wrap="square" lIns="0" tIns="0" rIns="0" bIns="0" anchor="ctr" anchorCtr="1"/>
              <a:lstStyle/>
              <a:p>
                <a:pPr algn="ctr" rtl="0">
                  <a:defRPr sz="1100">
                    <a:solidFill>
                      <a:schemeClr val="tx1"/>
                    </a:solidFill>
                  </a:defRPr>
                </a:pPr>
                <a:endParaRPr lang="en-US" sz="1100" b="0" i="0" u="none" strike="noStrike" baseline="0">
                  <a:solidFill>
                    <a:schemeClr val="tx1"/>
                  </a:solidFill>
                  <a:latin typeface="Calibri" panose="020F0502020204030204"/>
                </a:endParaRPr>
              </a:p>
            </cx:txPr>
          </cx:dataLabels>
          <cx:dataId val="0"/>
          <cx:layoutPr>
            <cx:subtotals>
              <cx:idx val="8"/>
              <cx:idx val="18"/>
              <cx:idx val="21"/>
            </cx:subtotals>
          </cx:layoutPr>
        </cx:series>
      </cx:plotAreaRegion>
      <cx:axis id="0">
        <cx:catScaling gapWidth="0.5"/>
        <cx:tickLabels/>
        <cx:txPr>
          <a:bodyPr spcFirstLastPara="1" vertOverflow="ellipsis" horzOverflow="overflow" wrap="square" lIns="0" tIns="0" rIns="0" bIns="0" anchor="ctr" anchorCtr="1"/>
          <a:lstStyle/>
          <a:p>
            <a:pPr algn="ctr" rtl="0">
              <a:defRPr sz="1600">
                <a:solidFill>
                  <a:schemeClr val="tx1"/>
                </a:solidFill>
              </a:defRPr>
            </a:pPr>
            <a:endParaRPr lang="en-US" sz="1600" b="0" i="0" u="none" strike="noStrike" baseline="0">
              <a:solidFill>
                <a:schemeClr val="tx1"/>
              </a:solidFill>
              <a:latin typeface="Calibri" panose="020F0502020204030204"/>
            </a:endParaRPr>
          </a:p>
        </cx:txPr>
      </cx:axis>
      <cx:axis id="1">
        <cx:valScaling/>
        <cx:title>
          <cx:tx>
            <cx:rich>
              <a:bodyPr spcFirstLastPara="1" vertOverflow="ellipsis" horzOverflow="overflow" wrap="square" lIns="0" tIns="0" rIns="0" bIns="0" anchor="ctr" anchorCtr="1"/>
              <a:lstStyle/>
              <a:p>
                <a:pPr algn="ctr" rtl="0">
                  <a:defRPr sz="2800">
                    <a:solidFill>
                      <a:schemeClr val="tx1"/>
                    </a:solidFill>
                  </a:defRPr>
                </a:pPr>
                <a:r>
                  <a:rPr lang="en-US" sz="2800" b="0" i="0" u="none" strike="noStrike" baseline="0">
                    <a:solidFill>
                      <a:schemeClr val="tx1"/>
                    </a:solidFill>
                    <a:latin typeface="Calibri" panose="020F0502020204030204"/>
                  </a:rPr>
                  <a:t>Cost ($/t-CO</a:t>
                </a:r>
                <a:r>
                  <a:rPr lang="en-US" sz="2800" b="0" i="0" u="none" strike="noStrike" baseline="-25000">
                    <a:solidFill>
                      <a:schemeClr val="tx1"/>
                    </a:solidFill>
                    <a:latin typeface="Calibri" panose="020F0502020204030204"/>
                  </a:rPr>
                  <a:t>2</a:t>
                </a:r>
                <a:r>
                  <a:rPr lang="en-US" sz="2800" b="0" i="0" u="none" strike="noStrike" baseline="0">
                    <a:solidFill>
                      <a:schemeClr val="tx1"/>
                    </a:solidFill>
                    <a:latin typeface="Calibri" panose="020F0502020204030204"/>
                  </a:rPr>
                  <a:t>)</a:t>
                </a:r>
              </a:p>
            </cx:rich>
          </cx:tx>
        </cx:title>
        <cx:majorGridlines/>
        <cx:tickLabels/>
        <cx:numFmt formatCode="$#,##0_);[Red]($#,##0)" sourceLinked="0"/>
        <cx:spPr>
          <a:ln>
            <a:solidFill>
              <a:schemeClr val="tx1"/>
            </a:solidFill>
          </a:ln>
        </cx:spPr>
        <cx:txPr>
          <a:bodyPr spcFirstLastPara="1" vertOverflow="ellipsis" horzOverflow="overflow" wrap="square" lIns="0" tIns="0" rIns="0" bIns="0" anchor="ctr" anchorCtr="1"/>
          <a:lstStyle/>
          <a:p>
            <a:pPr algn="ctr" rtl="0">
              <a:defRPr sz="2400">
                <a:solidFill>
                  <a:schemeClr val="tx1"/>
                </a:solidFill>
              </a:defRPr>
            </a:pPr>
            <a:endParaRPr lang="en-US" sz="2400" b="0" i="0" u="none" strike="noStrike" baseline="0">
              <a:solidFill>
                <a:schemeClr val="tx1"/>
              </a:solidFill>
              <a:latin typeface="Calibri" panose="020F0502020204030204"/>
            </a:endParaRPr>
          </a:p>
        </cx:txPr>
      </cx:axis>
    </cx:plotArea>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10</xdr:col>
      <xdr:colOff>800193</xdr:colOff>
      <xdr:row>0</xdr:row>
      <xdr:rowOff>248335</xdr:rowOff>
    </xdr:from>
    <xdr:to>
      <xdr:col>22</xdr:col>
      <xdr:colOff>1143276</xdr:colOff>
      <xdr:row>35</xdr:row>
      <xdr:rowOff>114985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2E79D26E-D578-8787-5EFC-06189E3FA24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5684593" y="248335"/>
              <a:ext cx="11169833" cy="81216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JM_Files\Projects\FY%202013\d9999%20Saline%20EOR%20Transport%20Models\CO2%20Saline%20Storage%20Cost%20Model\aa%20Cur%20Ver\NETL_CO2_Sal_Stor_Cost_Mod_2013_04_02%20dj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MESA\SUBCLIN%20205\205.001\Sub%20Act%201%20Onshore%20Model\Onshore%20Model\Models\FE_NETL_CO2_Sal_Stor_Cost_Model_v3_final_2017_09_3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WINDOWS\TEMP\USFreight97-93.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MODIFIED%20-%20FECM%20NETL%20CO2%20Transport%20Cost%20Model%20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_ME_FIRST"/>
      <sheetName val="Project_Management"/>
      <sheetName val="ResSum1"/>
      <sheetName val="ResSum"/>
      <sheetName val="CTUSInp1"/>
      <sheetName val="CTUSInp"/>
      <sheetName val="Plume&amp;Well Schedule"/>
      <sheetName val="Geo-Activity Interaction"/>
      <sheetName val="Geol Sal"/>
      <sheetName val="Geol DB Sal"/>
      <sheetName val="FinMod"/>
      <sheetName val="Cost Breakdown"/>
      <sheetName val="Update Tracker"/>
      <sheetName val="Activity_Inputs"/>
      <sheetName val="Back-End_Cost Items"/>
      <sheetName val="Site Data1"/>
      <sheetName val="Site Data 2"/>
      <sheetName val="Example cost"/>
      <sheetName val="Drilling Costs"/>
      <sheetName val="Documentation"/>
    </sheetNames>
    <sheetDataSet>
      <sheetData sheetId="0"/>
      <sheetData sheetId="1"/>
      <sheetData sheetId="2"/>
      <sheetData sheetId="3"/>
      <sheetData sheetId="4"/>
      <sheetData sheetId="5"/>
      <sheetData sheetId="6"/>
      <sheetData sheetId="7">
        <row r="57">
          <cell r="E57">
            <v>14500</v>
          </cell>
          <cell r="F57" t="str">
            <v>ft</v>
          </cell>
        </row>
        <row r="58">
          <cell r="E58">
            <v>14275</v>
          </cell>
          <cell r="F58" t="str">
            <v>ft</v>
          </cell>
        </row>
        <row r="60">
          <cell r="E60">
            <v>14050</v>
          </cell>
          <cell r="F60" t="str">
            <v>ft</v>
          </cell>
        </row>
        <row r="61">
          <cell r="E61">
            <v>13850</v>
          </cell>
          <cell r="F61" t="str">
            <v>ft</v>
          </cell>
        </row>
        <row r="62">
          <cell r="E62">
            <v>500</v>
          </cell>
          <cell r="F62" t="str">
            <v xml:space="preserve">Feet </v>
          </cell>
        </row>
        <row r="63">
          <cell r="E63">
            <v>40</v>
          </cell>
          <cell r="F63" t="str">
            <v xml:space="preserve">Feet </v>
          </cell>
        </row>
        <row r="65">
          <cell r="E65">
            <v>14275</v>
          </cell>
          <cell r="F65" t="str">
            <v>ft</v>
          </cell>
        </row>
        <row r="66">
          <cell r="E66">
            <v>14275</v>
          </cell>
          <cell r="F66" t="str">
            <v>ft</v>
          </cell>
        </row>
      </sheetData>
      <sheetData sheetId="8"/>
      <sheetData sheetId="9"/>
      <sheetData sheetId="10"/>
      <sheetData sheetId="11"/>
      <sheetData sheetId="12"/>
      <sheetData sheetId="13">
        <row r="9">
          <cell r="E9">
            <v>128.67599999999999</v>
          </cell>
          <cell r="F9" t="str">
            <v>$/Hour</v>
          </cell>
        </row>
        <row r="10">
          <cell r="E10">
            <v>132.744</v>
          </cell>
          <cell r="F10" t="str">
            <v>$/Hour</v>
          </cell>
        </row>
        <row r="11">
          <cell r="E11">
            <v>90</v>
          </cell>
          <cell r="F11" t="str">
            <v>$/Hour</v>
          </cell>
        </row>
        <row r="12">
          <cell r="E12">
            <v>60</v>
          </cell>
          <cell r="F12" t="str">
            <v>$/Hour</v>
          </cell>
        </row>
      </sheetData>
      <sheetData sheetId="14"/>
      <sheetData sheetId="15"/>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_ME_FIRST"/>
      <sheetName val="Parameters"/>
      <sheetName val="Simulation"/>
      <sheetName val="Key_Inputs"/>
      <sheetName val="Fin_Resp_Inputs"/>
      <sheetName val="Summ_Output"/>
      <sheetName val="Cost Breakdown 1"/>
      <sheetName val="Res_Bas"/>
      <sheetName val="Res_Bas1"/>
      <sheetName val="Res_CatP1"/>
      <sheetName val="Res_CatV1"/>
      <sheetName val="Res_FRWat1"/>
      <sheetName val="Res_SUStg1"/>
      <sheetName val="Res_SUStg"/>
      <sheetName val="Res_FRWat"/>
      <sheetName val="Res_CatV"/>
      <sheetName val="Res_CatP"/>
      <sheetName val="Geol Sal"/>
      <sheetName val="Geol DB Sal"/>
      <sheetName val="Geol DB Sources"/>
      <sheetName val="Water"/>
      <sheetName val="FinMod_Main"/>
      <sheetName val="FinMod FR Details"/>
      <sheetName val="FR_Lookups"/>
      <sheetName val="Activity_Inputs"/>
      <sheetName val="Surf Eq Cost"/>
      <sheetName val="Back-End_Cost Items"/>
      <sheetName val="Plume&amp;Well Schedule"/>
      <sheetName val="Geo-Activity Interaction"/>
      <sheetName val="Drilling Costs"/>
      <sheetName val="Vers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98">
          <cell r="D98">
            <v>4.0669467941409814E-3</v>
          </cell>
        </row>
      </sheetData>
      <sheetData sheetId="18"/>
      <sheetData sheetId="19"/>
      <sheetData sheetId="20"/>
      <sheetData sheetId="21"/>
      <sheetData sheetId="22"/>
      <sheetData sheetId="23"/>
      <sheetData sheetId="24">
        <row r="9">
          <cell r="E9">
            <v>128.67599999999999</v>
          </cell>
        </row>
      </sheetData>
      <sheetData sheetId="25"/>
      <sheetData sheetId="26"/>
      <sheetData sheetId="27"/>
      <sheetData sheetId="28">
        <row r="31">
          <cell r="E31">
            <v>6750</v>
          </cell>
        </row>
      </sheetData>
      <sheetData sheetId="29"/>
      <sheetData sheetId="3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il shipments 93-97"/>
      <sheetName val="Waterborne Flows 93-97"/>
      <sheetName val="Air and vessel 93-97"/>
      <sheetName val="Figure 2 compare"/>
      <sheetName val="Factors Comparisons"/>
      <sheetName val="1997  Table 1a Modified"/>
      <sheetName val="Figure 1"/>
      <sheetName val="1993-97 Table 1  US Highlights"/>
      <sheetName val="93-97 US Freight Table 1"/>
      <sheetName val="93-97 US Freight Table 1 (b)"/>
      <sheetName val="93-97 Percents Tab 2&amp;3"/>
      <sheetName val="Integrated View 93-97"/>
      <sheetName val="Figure 3 modal shares"/>
      <sheetName val="1993-97 Percents"/>
      <sheetName val="BTS &amp; ORNL estimates"/>
      <sheetName val="Oil Pipeline (2)"/>
      <sheetName val="1997 Table 2"/>
      <sheetName val="Table 4 Distance"/>
      <sheetName val="Distance percent change"/>
      <sheetName val="Distance 93-97"/>
      <sheetName val="Distance Fig value per ton"/>
      <sheetName val="Distance Bar"/>
      <sheetName val="Table 5 Size 93-97"/>
      <sheetName val="Size percent change"/>
      <sheetName val="Size Fig value per ton"/>
      <sheetName val="Size Bar "/>
      <sheetName val="BTS Mode"/>
      <sheetName val="Ton-miles data"/>
      <sheetName val="Ton-miles figure"/>
      <sheetName val="table 3 commodities"/>
      <sheetName val="Commodities ranked by value"/>
      <sheetName val="Commod ranked by tons"/>
      <sheetName val="Commod ranked by ton-miles"/>
      <sheetName val="Commod ranked by miles per ton "/>
      <sheetName val="Commod ranked by val per t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 sheetId="22"/>
      <sheetData sheetId="23"/>
      <sheetData sheetId="24"/>
      <sheetData sheetId="25" refreshError="1"/>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_ME_FIRST"/>
      <sheetName val="Main"/>
      <sheetName val="Combo Results"/>
      <sheetName val="Eng Mod"/>
      <sheetName val="Cases"/>
      <sheetName val="Cases_def"/>
      <sheetName val="PL Pressure Relation"/>
      <sheetName val="Cost Indices"/>
      <sheetName val="Pipe Cap"/>
      <sheetName val="Pipe Cap plot"/>
      <sheetName val="Parameters"/>
      <sheetName val="Version"/>
    </sheetNames>
    <sheetDataSet>
      <sheetData sheetId="0"/>
      <sheetData sheetId="1"/>
      <sheetData sheetId="2"/>
      <sheetData sheetId="3">
        <row r="7">
          <cell r="D7">
            <v>53</v>
          </cell>
          <cell r="E7" t="str">
            <v>°F</v>
          </cell>
        </row>
        <row r="10">
          <cell r="D10">
            <v>62</v>
          </cell>
          <cell r="E10" t="str">
            <v>mi</v>
          </cell>
        </row>
        <row r="11">
          <cell r="D11">
            <v>2200</v>
          </cell>
          <cell r="E11" t="str">
            <v>psig</v>
          </cell>
        </row>
        <row r="12">
          <cell r="D12">
            <v>1200</v>
          </cell>
        </row>
        <row r="16">
          <cell r="D16">
            <v>1</v>
          </cell>
        </row>
        <row r="48">
          <cell r="G48">
            <v>11.999999999999998</v>
          </cell>
        </row>
        <row r="67">
          <cell r="D67">
            <v>1600.7392174208383</v>
          </cell>
        </row>
      </sheetData>
      <sheetData sheetId="4"/>
      <sheetData sheetId="5"/>
      <sheetData sheetId="6"/>
      <sheetData sheetId="7"/>
      <sheetData sheetId="8"/>
      <sheetData sheetId="9"/>
      <sheetData sheetId="10">
        <row r="6">
          <cell r="M6" t="str">
            <v>Elevation Delta (ft)</v>
          </cell>
        </row>
      </sheetData>
      <sheetData sheetId="1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hyperlink" Target="https://doi.org/10.1016/j.ijggc.2020.103190" TargetMode="External"/><Relationship Id="rId13" Type="http://schemas.openxmlformats.org/officeDocument/2006/relationships/printerSettings" Target="../printerSettings/printerSettings1.bin"/><Relationship Id="rId3" Type="http://schemas.openxmlformats.org/officeDocument/2006/relationships/hyperlink" Target="https://www.nrel.gov/gis/solar-resource-maps.html" TargetMode="External"/><Relationship Id="rId7" Type="http://schemas.openxmlformats.org/officeDocument/2006/relationships/hyperlink" Target="https://www.wbdg.org/ffc/dod/unified-facilities-criteria-ufc/ufc-3-701-01" TargetMode="External"/><Relationship Id="rId12" Type="http://schemas.openxmlformats.org/officeDocument/2006/relationships/hyperlink" Target="https://www.netl.doe.gov/energy-analysis/details?id=f0f94954-3627-4e9b-a5c0-c29cfe419d1c" TargetMode="External"/><Relationship Id="rId2" Type="http://schemas.openxmlformats.org/officeDocument/2006/relationships/hyperlink" Target="https://www.ncei.noaa.gov/access/monitoring/climate-at-a-glance/statewide/time-series" TargetMode="External"/><Relationship Id="rId1" Type="http://schemas.openxmlformats.org/officeDocument/2006/relationships/hyperlink" Target="https://www.eia.gov/electricity/state/" TargetMode="External"/><Relationship Id="rId6" Type="http://schemas.openxmlformats.org/officeDocument/2006/relationships/hyperlink" Target="https://doi.org/10.1016/j.ijrefrig.2019.04.011" TargetMode="External"/><Relationship Id="rId11" Type="http://schemas.openxmlformats.org/officeDocument/2006/relationships/hyperlink" Target="https://doi.org/10.1177/03611981211031534" TargetMode="External"/><Relationship Id="rId5" Type="http://schemas.openxmlformats.org/officeDocument/2006/relationships/hyperlink" Target="https://pages.stern.nyu.edu/~adamodar/New_Home_Page/datafile/wacc.html" TargetMode="External"/><Relationship Id="rId15" Type="http://schemas.openxmlformats.org/officeDocument/2006/relationships/comments" Target="../comments1.xml"/><Relationship Id="rId10" Type="http://schemas.openxmlformats.org/officeDocument/2006/relationships/hyperlink" Target="https://doi.org/10.1016/j.apenergy.2022.119990" TargetMode="External"/><Relationship Id="rId4" Type="http://schemas.openxmlformats.org/officeDocument/2006/relationships/hyperlink" Target="https://beta.bls.gov/dataQuery/find?st=0&amp;r=100&amp;s=popularity%3AD&amp;more=0" TargetMode="External"/><Relationship Id="rId9" Type="http://schemas.openxmlformats.org/officeDocument/2006/relationships/hyperlink" Target="https://doi.org/10.1016/j.trc.2018.09.012" TargetMode="External"/><Relationship Id="rId1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7088B-BDB5-4476-B020-F9ACD6195321}">
  <sheetPr codeName="Sheet2"/>
  <dimension ref="A1:A33"/>
  <sheetViews>
    <sheetView zoomScale="50" zoomScaleNormal="50" workbookViewId="0"/>
  </sheetViews>
  <sheetFormatPr defaultRowHeight="18.5"/>
  <cols>
    <col min="1" max="1" width="128.92578125" customWidth="1"/>
  </cols>
  <sheetData>
    <row r="1" spans="1:1" ht="21">
      <c r="A1" s="216" t="s">
        <v>1128</v>
      </c>
    </row>
    <row r="2" spans="1:1" ht="37">
      <c r="A2" s="215" t="s">
        <v>1121</v>
      </c>
    </row>
    <row r="4" spans="1:1" ht="21">
      <c r="A4" s="216" t="s">
        <v>1129</v>
      </c>
    </row>
    <row r="5" spans="1:1" ht="148">
      <c r="A5" s="215" t="s">
        <v>1186</v>
      </c>
    </row>
    <row r="6" spans="1:1">
      <c r="A6" s="215"/>
    </row>
    <row r="7" spans="1:1" ht="21">
      <c r="A7" s="216" t="s">
        <v>1130</v>
      </c>
    </row>
    <row r="8" spans="1:1">
      <c r="A8" t="s">
        <v>1122</v>
      </c>
    </row>
    <row r="9" spans="1:1">
      <c r="A9" t="s">
        <v>1123</v>
      </c>
    </row>
    <row r="11" spans="1:1" ht="21">
      <c r="A11" s="216" t="s">
        <v>1131</v>
      </c>
    </row>
    <row r="12" spans="1:1">
      <c r="A12" t="s">
        <v>1208</v>
      </c>
    </row>
    <row r="13" spans="1:1" ht="37">
      <c r="A13" s="215" t="s">
        <v>1124</v>
      </c>
    </row>
    <row r="14" spans="1:1" ht="37">
      <c r="A14" s="215" t="s">
        <v>1207</v>
      </c>
    </row>
    <row r="15" spans="1:1">
      <c r="A15" s="215"/>
    </row>
    <row r="16" spans="1:1" ht="21">
      <c r="A16" s="216" t="s">
        <v>1133</v>
      </c>
    </row>
    <row r="17" spans="1:1">
      <c r="A17" t="s">
        <v>1125</v>
      </c>
    </row>
    <row r="19" spans="1:1" ht="21">
      <c r="A19" s="216" t="s">
        <v>1132</v>
      </c>
    </row>
    <row r="20" spans="1:1">
      <c r="A20" t="s">
        <v>1126</v>
      </c>
    </row>
    <row r="22" spans="1:1" ht="21">
      <c r="A22" s="216" t="s">
        <v>1134</v>
      </c>
    </row>
    <row r="23" spans="1:1">
      <c r="A23" t="s">
        <v>1135</v>
      </c>
    </row>
    <row r="24" spans="1:1" ht="129.5">
      <c r="A24" s="215" t="s">
        <v>1136</v>
      </c>
    </row>
    <row r="26" spans="1:1" ht="21">
      <c r="A26" s="216" t="s">
        <v>1137</v>
      </c>
    </row>
    <row r="27" spans="1:1">
      <c r="A27" t="s">
        <v>1127</v>
      </c>
    </row>
    <row r="28" spans="1:1">
      <c r="A28" t="s">
        <v>1140</v>
      </c>
    </row>
    <row r="29" spans="1:1">
      <c r="A29" s="215" t="s">
        <v>1139</v>
      </c>
    </row>
    <row r="30" spans="1:1">
      <c r="A30" s="215" t="s">
        <v>1138</v>
      </c>
    </row>
    <row r="31" spans="1:1" ht="37">
      <c r="A31" s="215" t="s">
        <v>1141</v>
      </c>
    </row>
    <row r="32" spans="1:1" ht="37">
      <c r="A32" s="215" t="s">
        <v>1142</v>
      </c>
    </row>
    <row r="33" spans="1:1" ht="111">
      <c r="A33" s="215" t="s">
        <v>1143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91B54-62E5-4D7F-8BA0-5C1CE60481C0}">
  <sheetPr codeName="Sheet29"/>
  <dimension ref="A1:J36"/>
  <sheetViews>
    <sheetView tabSelected="1" zoomScale="45" zoomScaleNormal="45" workbookViewId="0">
      <selection activeCell="A2" sqref="A2"/>
    </sheetView>
  </sheetViews>
  <sheetFormatPr defaultRowHeight="18.5"/>
  <cols>
    <col min="1" max="1" width="31.5" bestFit="1" customWidth="1"/>
    <col min="2" max="2" width="18.42578125" bestFit="1" customWidth="1"/>
    <col min="3" max="3" width="4.140625" customWidth="1"/>
    <col min="4" max="4" width="33.640625" bestFit="1" customWidth="1"/>
    <col min="5" max="5" width="8.85546875" bestFit="1" customWidth="1"/>
    <col min="6" max="6" width="9.42578125" bestFit="1" customWidth="1"/>
    <col min="7" max="7" width="4.140625" customWidth="1"/>
    <col min="8" max="8" width="24.140625" bestFit="1" customWidth="1"/>
    <col min="9" max="9" width="6.7109375" bestFit="1" customWidth="1"/>
    <col min="10" max="10" width="26.42578125" bestFit="1" customWidth="1"/>
    <col min="11" max="11" width="10.0703125" customWidth="1"/>
    <col min="12" max="12" width="12.7109375" bestFit="1" customWidth="1"/>
    <col min="13" max="13" width="10.0703125" bestFit="1" customWidth="1"/>
    <col min="14" max="14" width="7.5703125" bestFit="1" customWidth="1"/>
    <col min="15" max="15" width="7.5" bestFit="1" customWidth="1"/>
    <col min="16" max="16" width="9.28515625" bestFit="1" customWidth="1"/>
    <col min="17" max="17" width="10.640625" customWidth="1"/>
    <col min="18" max="18" width="9.85546875" customWidth="1"/>
    <col min="19" max="19" width="12.92578125" bestFit="1" customWidth="1"/>
    <col min="20" max="20" width="11.5703125" bestFit="1" customWidth="1"/>
    <col min="21" max="21" width="12.0703125" bestFit="1" customWidth="1"/>
    <col min="22" max="22" width="7.5" bestFit="1" customWidth="1"/>
    <col min="23" max="23" width="18.7109375" bestFit="1" customWidth="1"/>
    <col min="24" max="24" width="19.2109375" bestFit="1" customWidth="1"/>
    <col min="25" max="26" width="11.92578125" customWidth="1"/>
    <col min="27" max="27" width="8.5703125" bestFit="1" customWidth="1"/>
    <col min="28" max="28" width="9.0703125" bestFit="1" customWidth="1"/>
    <col min="29" max="29" width="6.5703125" customWidth="1"/>
  </cols>
  <sheetData>
    <row r="1" spans="1:10" ht="21">
      <c r="A1" s="216" t="s">
        <v>1145</v>
      </c>
    </row>
    <row r="3" spans="1:10">
      <c r="A3" s="200" t="s">
        <v>1034</v>
      </c>
      <c r="B3" s="31"/>
      <c r="D3" s="30" t="s">
        <v>1033</v>
      </c>
      <c r="E3" s="196"/>
      <c r="F3" s="196"/>
    </row>
    <row r="4" spans="1:10">
      <c r="A4" s="31" t="s">
        <v>104</v>
      </c>
      <c r="B4" s="31">
        <v>300</v>
      </c>
      <c r="D4" s="197" t="str">
        <f>Calculations!A1189</f>
        <v>Net CO2 Transport Efficiency</v>
      </c>
      <c r="E4" s="212">
        <f>Calculations!B1189</f>
        <v>0.9640458122495047</v>
      </c>
      <c r="F4" s="196"/>
    </row>
    <row r="5" spans="1:10">
      <c r="A5" s="31" t="s">
        <v>48</v>
      </c>
      <c r="B5" s="31">
        <v>100</v>
      </c>
      <c r="D5" s="196"/>
      <c r="E5" s="196" t="s">
        <v>1096</v>
      </c>
      <c r="F5" s="196" t="s">
        <v>1097</v>
      </c>
    </row>
    <row r="6" spans="1:10">
      <c r="A6" s="31" t="s">
        <v>380</v>
      </c>
      <c r="B6" s="33" t="s">
        <v>370</v>
      </c>
      <c r="C6" s="3"/>
      <c r="D6" s="196" t="s">
        <v>45</v>
      </c>
      <c r="E6" s="198">
        <f>Price</f>
        <v>54.675874365871778</v>
      </c>
      <c r="F6" s="198">
        <f>E6*$E$4</f>
        <v>52.710047713498732</v>
      </c>
    </row>
    <row r="7" spans="1:10">
      <c r="A7" s="31" t="s">
        <v>75</v>
      </c>
      <c r="B7" s="33" t="s">
        <v>202</v>
      </c>
      <c r="D7" s="196" t="s">
        <v>6</v>
      </c>
      <c r="E7" s="198">
        <f>Calculations!B1192</f>
        <v>5.5275933938386981</v>
      </c>
      <c r="F7" s="198">
        <f t="shared" ref="F7:F9" si="0">E7*$E$4</f>
        <v>5.3288532631482237</v>
      </c>
    </row>
    <row r="8" spans="1:10">
      <c r="A8" s="31" t="s">
        <v>364</v>
      </c>
      <c r="B8" s="33" t="s">
        <v>47</v>
      </c>
      <c r="D8" s="196" t="s">
        <v>106</v>
      </c>
      <c r="E8" s="198">
        <f>Calculations!B1194</f>
        <v>33.606132603779962</v>
      </c>
      <c r="F8" s="198">
        <f t="shared" si="0"/>
        <v>32.397851402575618</v>
      </c>
    </row>
    <row r="9" spans="1:10">
      <c r="A9" s="31" t="s">
        <v>367</v>
      </c>
      <c r="B9" s="33" t="s">
        <v>239</v>
      </c>
      <c r="D9" s="196" t="s">
        <v>107</v>
      </c>
      <c r="E9" s="198">
        <f>FINEX!C7</f>
        <v>15.542148368253123</v>
      </c>
      <c r="F9" s="198">
        <f t="shared" si="0"/>
        <v>14.983343047774897</v>
      </c>
    </row>
    <row r="10" spans="1:10">
      <c r="A10" s="31" t="s">
        <v>1040</v>
      </c>
      <c r="B10" s="31" t="s">
        <v>37</v>
      </c>
    </row>
    <row r="11" spans="1:10">
      <c r="A11" s="31" t="s">
        <v>1042</v>
      </c>
      <c r="B11" s="45" t="s">
        <v>37</v>
      </c>
      <c r="D11" s="39" t="s">
        <v>1187</v>
      </c>
      <c r="E11" s="198" t="s">
        <v>1098</v>
      </c>
      <c r="F11" s="196" t="s">
        <v>1099</v>
      </c>
      <c r="H11" s="64" t="s">
        <v>1146</v>
      </c>
      <c r="I11" s="196" t="s">
        <v>1104</v>
      </c>
      <c r="J11" s="196" t="s">
        <v>1105</v>
      </c>
    </row>
    <row r="12" spans="1:10">
      <c r="A12" s="31" t="s">
        <v>1039</v>
      </c>
      <c r="B12" s="33" t="s">
        <v>442</v>
      </c>
      <c r="D12" s="196" t="s">
        <v>1035</v>
      </c>
      <c r="E12" s="197">
        <f>Calculations!B1190</f>
        <v>8676412.3102455419</v>
      </c>
      <c r="F12" s="196">
        <f>Calculations!B10</f>
        <v>9000000</v>
      </c>
      <c r="H12" s="199" t="s">
        <v>172</v>
      </c>
      <c r="I12" s="212">
        <f>J12/(Calculations!$B$4*1000)</f>
        <v>2.0035890838268462E-2</v>
      </c>
      <c r="J12" s="197">
        <f>Calculations!B1142+Calculations!B1151</f>
        <v>6010.767251480539</v>
      </c>
    </row>
    <row r="13" spans="1:10">
      <c r="A13" s="31" t="s">
        <v>1198</v>
      </c>
      <c r="B13" s="33" t="s">
        <v>192</v>
      </c>
      <c r="D13" s="196" t="str">
        <f>Calculations!A1157</f>
        <v>Liquefaction equipment</v>
      </c>
      <c r="E13" s="199">
        <f>Calculations!B1157/$E$12</f>
        <v>1.9052309957702882</v>
      </c>
      <c r="F13" s="199">
        <f>E13*$E$4</f>
        <v>1.8367299628403002</v>
      </c>
      <c r="H13" s="213" t="s">
        <v>14</v>
      </c>
      <c r="I13" s="212">
        <f>J13/(Calculations!$B$4*1000)</f>
        <v>1.5512590963422047E-2</v>
      </c>
      <c r="J13" s="197">
        <f>Calculations!B1147</f>
        <v>4653.7772890266142</v>
      </c>
    </row>
    <row r="14" spans="1:10">
      <c r="A14" s="31" t="s">
        <v>1199</v>
      </c>
      <c r="B14" s="223">
        <v>3.4257084299026919</v>
      </c>
      <c r="D14" s="196" t="str">
        <f>Calculations!A1158</f>
        <v>Buffer Storage (upstream)</v>
      </c>
      <c r="E14" s="199">
        <f>Calculations!B1158/$E$12</f>
        <v>0.51830688500764521</v>
      </c>
      <c r="F14" s="199">
        <f t="shared" ref="F14:F32" si="1">E14*$E$4</f>
        <v>0.49967158195170597</v>
      </c>
      <c r="H14" s="196" t="s">
        <v>1102</v>
      </c>
      <c r="I14" s="212">
        <f>J14/(Calculations!$B$4*1000)</f>
        <v>4.0570594880477674E-4</v>
      </c>
      <c r="J14" s="197">
        <f>SUM(Calculations!B1143:B1146,Calculations!B1148,Calculations!B1150)</f>
        <v>121.71178464143301</v>
      </c>
    </row>
    <row r="15" spans="1:10">
      <c r="A15" s="31" t="s">
        <v>1201</v>
      </c>
      <c r="B15" s="31" t="s">
        <v>1206</v>
      </c>
      <c r="D15" s="196" t="str">
        <f>Calculations!A1159</f>
        <v>Trucks</v>
      </c>
      <c r="E15" s="199">
        <f>Calculations!B1159/$E$12</f>
        <v>1.619007311917668</v>
      </c>
      <c r="F15" s="199">
        <f t="shared" si="1"/>
        <v>1.5607972190555555</v>
      </c>
      <c r="H15" s="199" t="s">
        <v>1101</v>
      </c>
      <c r="I15" s="212">
        <f>J15/(Calculations!$B$4*1000)</f>
        <v>0</v>
      </c>
      <c r="J15" s="197">
        <f>Calculations!B1149</f>
        <v>0</v>
      </c>
    </row>
    <row r="16" spans="1:10">
      <c r="A16" s="31" t="s">
        <v>1202</v>
      </c>
      <c r="B16" s="31" t="s">
        <v>1206</v>
      </c>
      <c r="D16" s="196" t="str">
        <f>Calculations!A1160</f>
        <v>Flatbed Trailers</v>
      </c>
      <c r="E16" s="199">
        <f>Calculations!B1160/$E$12</f>
        <v>0</v>
      </c>
      <c r="F16" s="199">
        <f t="shared" si="1"/>
        <v>0</v>
      </c>
      <c r="H16" s="196" t="s">
        <v>45</v>
      </c>
      <c r="I16" s="212">
        <f>J16/(Calculations!$B$4*1000)</f>
        <v>3.5954187750495289E-2</v>
      </c>
      <c r="J16" s="197">
        <f>SUM(J12:J15)</f>
        <v>10786.256325148586</v>
      </c>
    </row>
    <row r="17" spans="1:10">
      <c r="A17" s="31" t="s">
        <v>379</v>
      </c>
      <c r="B17" s="33" t="s">
        <v>381</v>
      </c>
      <c r="D17" s="196" t="str">
        <f>Calculations!A1161</f>
        <v>LCO2 Containers</v>
      </c>
      <c r="E17" s="199">
        <f>Calculations!B1161/$E$12</f>
        <v>0.45872097324981365</v>
      </c>
      <c r="F17" s="199">
        <f t="shared" si="1"/>
        <v>0.44222803325249993</v>
      </c>
      <c r="H17" s="199" t="s">
        <v>1103</v>
      </c>
      <c r="I17" s="212">
        <f>Calculations!B1189</f>
        <v>0.9640458122495047</v>
      </c>
      <c r="J17" s="213"/>
    </row>
    <row r="18" spans="1:10">
      <c r="A18" s="31" t="s">
        <v>1106</v>
      </c>
      <c r="B18" s="33" t="s">
        <v>383</v>
      </c>
      <c r="D18" s="196" t="str">
        <f>Calculations!A1162</f>
        <v>Intermediate storage</v>
      </c>
      <c r="E18" s="199">
        <f>Calculations!B1162/$E$12</f>
        <v>0</v>
      </c>
      <c r="F18" s="199">
        <f t="shared" si="1"/>
        <v>0</v>
      </c>
    </row>
    <row r="19" spans="1:10">
      <c r="A19" s="31" t="s">
        <v>1182</v>
      </c>
      <c r="B19" s="33">
        <v>2050</v>
      </c>
      <c r="D19" s="196" t="str">
        <f>Calculations!A1163</f>
        <v>Buffer Storage (downstream)</v>
      </c>
      <c r="E19" s="199">
        <f>Calculations!B1163/$E$12</f>
        <v>0.48924709477459066</v>
      </c>
      <c r="F19" s="199">
        <f t="shared" si="1"/>
        <v>0.47165661287268068</v>
      </c>
      <c r="H19" s="64" t="s">
        <v>1176</v>
      </c>
      <c r="I19" s="196"/>
      <c r="J19" s="196"/>
    </row>
    <row r="20" spans="1:10">
      <c r="A20" s="31" t="s">
        <v>1183</v>
      </c>
      <c r="B20" s="31" t="s">
        <v>1095</v>
      </c>
      <c r="D20" s="196" t="str">
        <f>Calculations!A1164</f>
        <v>Reconditioning equipment</v>
      </c>
      <c r="E20" s="199">
        <f>Calculations!B1164/$E$12</f>
        <v>0.53708013311869118</v>
      </c>
      <c r="F20" s="199">
        <f t="shared" si="1"/>
        <v>0.51776985317548074</v>
      </c>
      <c r="H20" s="219" t="s">
        <v>1178</v>
      </c>
      <c r="I20" s="220">
        <f>IF($B$8=Options!$E$4,"NA",IF($B$9=Options!$F$4,(Calculations!$A$65*Calculations!$A$64*Calculations!$A$63)/Calculations!B631,(Calculations!$A$65*Calculations!$A$64*Calculations!$A$63)/Calculations!B594))</f>
        <v>39.843034657304102</v>
      </c>
      <c r="J20" s="196" t="str">
        <f>IF(I20="NA","NA","minutes")</f>
        <v>minutes</v>
      </c>
    </row>
    <row r="21" spans="1:10">
      <c r="A21" s="31" t="s">
        <v>881</v>
      </c>
      <c r="B21" s="33" t="s">
        <v>884</v>
      </c>
      <c r="D21" s="196" t="str">
        <f>D7</f>
        <v>CAPEX</v>
      </c>
      <c r="E21" s="199">
        <f>SUM(E13:E20)</f>
        <v>5.5275933938386963</v>
      </c>
      <c r="F21" s="199">
        <f>SUM(F13:F20)</f>
        <v>5.3288532631482237</v>
      </c>
      <c r="H21" s="219" t="s">
        <v>1180</v>
      </c>
      <c r="I21" s="220">
        <f>IF($B$8=Options!$E$4,"NA",(Calculations!$A$64*Calculations!$A$63)/I20)</f>
        <v>36.141825350043121</v>
      </c>
      <c r="J21" s="196" t="str">
        <f>IF(I21="NA","NA","trucks per day")</f>
        <v>trucks per day</v>
      </c>
    </row>
    <row r="22" spans="1:10">
      <c r="A22" s="31" t="s">
        <v>1184</v>
      </c>
      <c r="B22" s="32" t="s">
        <v>37</v>
      </c>
      <c r="D22" s="196" t="str">
        <f>Calculations!A1176</f>
        <v>Electricity</v>
      </c>
      <c r="E22" s="199">
        <f>(Calculations!B1176*$B$25)/$E$12</f>
        <v>8.7383434409877214</v>
      </c>
      <c r="F22" s="199">
        <f t="shared" si="1"/>
        <v>8.4241634002821399</v>
      </c>
      <c r="H22" s="219" t="s">
        <v>1179</v>
      </c>
      <c r="I22" s="220" t="str">
        <f>IF($B$8=Options!$E$4,IF($B$9=Options!$F$4,Calculations!B723/2,Calculations!B689/2),"NA")</f>
        <v>NA</v>
      </c>
      <c r="J22" s="196" t="str">
        <f>IF(I22="NA","NA","hours")</f>
        <v>NA</v>
      </c>
    </row>
    <row r="23" spans="1:10">
      <c r="A23" s="31" t="s">
        <v>1047</v>
      </c>
      <c r="B23" s="45">
        <v>500</v>
      </c>
      <c r="D23" s="196" t="str">
        <f>Calculations!A1177</f>
        <v>Fuel</v>
      </c>
      <c r="E23" s="199">
        <f>(Calculations!B1177*$B$25)/$E$12</f>
        <v>4.3840239698372274</v>
      </c>
      <c r="F23" s="199">
        <f t="shared" si="1"/>
        <v>4.2263999489230279</v>
      </c>
      <c r="H23" s="219" t="s">
        <v>1177</v>
      </c>
      <c r="I23" s="220" t="str">
        <f>IF($B$8=Options!$E$4,IF($B$9=Options!$F$4,Calculations!B728,Calculations!B693),"NA")</f>
        <v>NA</v>
      </c>
      <c r="J23" s="196" t="str">
        <f>IF(I23="NA","NA",IF(I23&lt;Calculations!B112,"cars on mixed commodity train","cars on unit train"))</f>
        <v>NA</v>
      </c>
    </row>
    <row r="24" spans="1:10">
      <c r="A24" s="31" t="s">
        <v>540</v>
      </c>
      <c r="B24" s="45">
        <v>15</v>
      </c>
      <c r="D24" s="196" t="str">
        <f>Calculations!A1178</f>
        <v>Makeup Water</v>
      </c>
      <c r="E24" s="199">
        <f>(Calculations!B1178*$B$25)/$E$12</f>
        <v>0.13765173923227872</v>
      </c>
      <c r="F24" s="199">
        <f t="shared" si="1"/>
        <v>0.13270258275573915</v>
      </c>
      <c r="I24" s="3"/>
    </row>
    <row r="25" spans="1:10">
      <c r="A25" s="31" t="s">
        <v>369</v>
      </c>
      <c r="B25" s="31">
        <v>30</v>
      </c>
      <c r="D25" s="196" t="str">
        <f>Calculations!A1179</f>
        <v>Base rate</v>
      </c>
      <c r="E25" s="199">
        <f>(Calculations!B1179*$B$25)/$E$12</f>
        <v>0</v>
      </c>
      <c r="F25" s="199">
        <f t="shared" si="1"/>
        <v>0</v>
      </c>
      <c r="I25" s="3"/>
    </row>
    <row r="26" spans="1:10">
      <c r="A26" s="31" t="s">
        <v>368</v>
      </c>
      <c r="B26" s="31">
        <v>2</v>
      </c>
      <c r="D26" s="196" t="str">
        <f>Calculations!A1180</f>
        <v>Fuel surcharge</v>
      </c>
      <c r="E26" s="199">
        <f>(Calculations!B1180*$B$25)/$E$12</f>
        <v>0</v>
      </c>
      <c r="F26" s="199">
        <f t="shared" si="1"/>
        <v>0</v>
      </c>
      <c r="G26" s="17"/>
      <c r="I26" s="3"/>
    </row>
    <row r="27" spans="1:10">
      <c r="A27" s="31" t="s">
        <v>1185</v>
      </c>
      <c r="B27" s="31">
        <v>2024</v>
      </c>
      <c r="D27" s="196" t="str">
        <f>Calculations!A1181</f>
        <v>Maintenance</v>
      </c>
      <c r="E27" s="199">
        <f>(Calculations!B1181*$B$25)/$E$12</f>
        <v>6.2508565771273856</v>
      </c>
      <c r="F27" s="199">
        <f t="shared" si="1"/>
        <v>6.0261121061519294</v>
      </c>
      <c r="I27" s="3"/>
      <c r="J27" s="3"/>
    </row>
    <row r="28" spans="1:10">
      <c r="A28" s="31" t="s">
        <v>1065</v>
      </c>
      <c r="B28" s="31" t="s">
        <v>192</v>
      </c>
      <c r="D28" s="196" t="str">
        <f>Calculations!A1182</f>
        <v>Insurance, Permits, Fees</v>
      </c>
      <c r="E28" s="199">
        <f>(Calculations!B1182*$B$25)/$E$12</f>
        <v>2.344572828252931</v>
      </c>
      <c r="F28" s="199">
        <f t="shared" si="1"/>
        <v>2.2602756165912155</v>
      </c>
      <c r="I28" s="3"/>
    </row>
    <row r="29" spans="1:10">
      <c r="A29" s="31" t="s">
        <v>179</v>
      </c>
      <c r="B29" s="35">
        <v>0.08</v>
      </c>
      <c r="C29" s="6"/>
      <c r="D29" s="196" t="str">
        <f>Calculations!A1183</f>
        <v>Labor</v>
      </c>
      <c r="E29" s="199">
        <f>(Calculations!B1183*$B$25)/$E$12</f>
        <v>12.142016786127071</v>
      </c>
      <c r="F29" s="199">
        <f t="shared" si="1"/>
        <v>11.705460434928993</v>
      </c>
      <c r="I29" s="3"/>
    </row>
    <row r="30" spans="1:10">
      <c r="A30" s="31" t="s">
        <v>373</v>
      </c>
      <c r="B30" s="31">
        <v>10</v>
      </c>
      <c r="C30" s="6"/>
      <c r="D30" s="196" t="str">
        <f>Calculations!A1184</f>
        <v>End of life</v>
      </c>
      <c r="E30" s="199">
        <f>(Calculations!B1184)/$E$12</f>
        <v>-0.39133273778465733</v>
      </c>
      <c r="F30" s="199">
        <f t="shared" si="1"/>
        <v>-0.37726268705743243</v>
      </c>
      <c r="I30" s="3"/>
    </row>
    <row r="31" spans="1:10">
      <c r="A31" s="31" t="s">
        <v>1062</v>
      </c>
      <c r="B31" s="32">
        <v>0.45</v>
      </c>
      <c r="C31" s="6"/>
      <c r="D31" s="196" t="s">
        <v>1032</v>
      </c>
      <c r="E31" s="199">
        <f>SUM(E21:E30)</f>
        <v>39.133725997618654</v>
      </c>
      <c r="F31" s="199">
        <f>SUM(F21:F30)</f>
        <v>37.726704665723837</v>
      </c>
      <c r="I31" s="3"/>
    </row>
    <row r="32" spans="1:10">
      <c r="A32" s="31" t="s">
        <v>1063</v>
      </c>
      <c r="B32" s="35">
        <v>0.1075</v>
      </c>
      <c r="C32" s="6"/>
      <c r="D32" s="199" t="str">
        <f>D9</f>
        <v>FINEX</v>
      </c>
      <c r="E32" s="199">
        <f>E9</f>
        <v>15.542148368253123</v>
      </c>
      <c r="F32" s="199">
        <f t="shared" si="1"/>
        <v>14.983343047774897</v>
      </c>
      <c r="I32" s="3"/>
    </row>
    <row r="33" spans="1:6">
      <c r="A33" s="31" t="s">
        <v>1064</v>
      </c>
      <c r="B33" s="35">
        <v>0.04</v>
      </c>
      <c r="D33" s="199" t="s">
        <v>1192</v>
      </c>
      <c r="E33" s="199">
        <v>0</v>
      </c>
      <c r="F33" s="199">
        <f>E34-SUM(F31:F32)</f>
        <v>1.9658266523730461</v>
      </c>
    </row>
    <row r="34" spans="1:6">
      <c r="A34" s="31" t="s">
        <v>126</v>
      </c>
      <c r="B34" s="210">
        <v>0.1</v>
      </c>
      <c r="D34" s="199" t="str">
        <f>D6</f>
        <v>Total</v>
      </c>
      <c r="E34" s="199">
        <f>SUM(E31:E32)</f>
        <v>54.675874365871778</v>
      </c>
      <c r="F34" s="199">
        <f>SUM(F31:F33)</f>
        <v>54.675874365871778</v>
      </c>
    </row>
    <row r="35" spans="1:6">
      <c r="D35" s="196" t="s">
        <v>179</v>
      </c>
      <c r="E35" s="212">
        <f>Target</f>
        <v>9.6299999999999997E-2</v>
      </c>
      <c r="F35" s="196"/>
    </row>
    <row r="36" spans="1:6">
      <c r="D36" s="199" t="s">
        <v>151</v>
      </c>
      <c r="E36" s="212">
        <f>Calculations!D172</f>
        <v>0.13489404222495646</v>
      </c>
      <c r="F36" s="196"/>
    </row>
  </sheetData>
  <dataValidations count="1">
    <dataValidation type="list" allowBlank="1" showInputMessage="1" showErrorMessage="1" sqref="B15:B16" xr:uid="{718A20E2-2DDA-4483-BDBF-51A8ACD487EA}">
      <formula1>"Yes,No"</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31">
        <x14:dataValidation type="list" allowBlank="1" showInputMessage="1" showErrorMessage="1" xr:uid="{9F510F3D-8814-483A-8697-399D188C984A}">
          <x14:formula1>
            <xm:f>Options!$F$4:$F$5</xm:f>
          </x14:formula1>
          <xm:sqref>B9</xm:sqref>
        </x14:dataValidation>
        <x14:dataValidation type="list" allowBlank="1" showInputMessage="1" showErrorMessage="1" xr:uid="{B6D4757B-D9AA-40CF-A71F-6FCBD0EA2C54}">
          <x14:formula1>
            <xm:f>Options!$L$4:$L$5</xm:f>
          </x14:formula1>
          <xm:sqref>B28</xm:sqref>
        </x14:dataValidation>
        <x14:dataValidation type="list" allowBlank="1" showInputMessage="1" showErrorMessage="1" xr:uid="{AE65E172-2AD0-48F0-8409-3681F9DD3790}">
          <x14:formula1>
            <xm:f>Options!$B$4:$B$603</xm:f>
          </x14:formula1>
          <xm:sqref>B5</xm:sqref>
        </x14:dataValidation>
        <x14:dataValidation type="list" allowBlank="1" showInputMessage="1" showErrorMessage="1" xr:uid="{707FC79B-F5A2-47B6-904F-F79B0E6952A5}">
          <x14:formula1>
            <xm:f>Options!$A$4:$A$994</xm:f>
          </x14:formula1>
          <xm:sqref>B4</xm:sqref>
        </x14:dataValidation>
        <x14:dataValidation type="list" allowBlank="1" showInputMessage="1" showErrorMessage="1" xr:uid="{974458A3-5048-485C-9F51-0FC38259B727}">
          <x14:formula1>
            <xm:f>Options!$S$4:$S$6</xm:f>
          </x14:formula1>
          <xm:sqref>B6</xm:sqref>
        </x14:dataValidation>
        <x14:dataValidation type="list" allowBlank="1" showInputMessage="1" showErrorMessage="1" xr:uid="{80D2C0F2-4DBC-47F7-A1DF-676A3E2EB580}">
          <x14:formula1>
            <xm:f>IF($B$6=Options!$S$4,Options!$T$4,IF($B$6=Options!$S$5,Options!$U$4:$U$8,Options!$V$4:$V$53))</xm:f>
          </x14:formula1>
          <xm:sqref>B9</xm:sqref>
        </x14:dataValidation>
        <x14:dataValidation type="list" allowBlank="1" showInputMessage="1" showErrorMessage="1" xr:uid="{D0AFA0EE-242B-4993-B897-D791F9739D92}">
          <x14:formula1>
            <xm:f>Options!$E$4:$E$5</xm:f>
          </x14:formula1>
          <xm:sqref>B8</xm:sqref>
        </x14:dataValidation>
        <x14:dataValidation type="list" allowBlank="1" showInputMessage="1" showErrorMessage="1" xr:uid="{689E5B9D-0732-4908-8FAF-6AA709BA5B87}">
          <x14:formula1>
            <xm:f>Options!$C$4:$C$36</xm:f>
          </x14:formula1>
          <xm:sqref>B23</xm:sqref>
        </x14:dataValidation>
        <x14:dataValidation type="list" allowBlank="1" showInputMessage="1" showErrorMessage="1" xr:uid="{0EB8817A-660F-4399-9473-D8110195AF74}">
          <x14:formula1>
            <xm:f>Options!$I$4:$I$53</xm:f>
          </x14:formula1>
          <xm:sqref>B25</xm:sqref>
        </x14:dataValidation>
        <x14:dataValidation type="list" allowBlank="1" showInputMessage="1" showErrorMessage="1" xr:uid="{353CCB4E-3DD1-4B65-9051-65B6D07D126B}">
          <x14:formula1>
            <xm:f>Options!$J$4:$J$13</xm:f>
          </x14:formula1>
          <xm:sqref>B26</xm:sqref>
        </x14:dataValidation>
        <x14:dataValidation type="list" allowBlank="1" showInputMessage="1" showErrorMessage="1" xr:uid="{C79645F4-E438-4EF4-9B44-A3EA1DA95E23}">
          <x14:formula1>
            <xm:f>Options!$K$4:$K$30</xm:f>
          </x14:formula1>
          <xm:sqref>B27</xm:sqref>
        </x14:dataValidation>
        <x14:dataValidation type="list" allowBlank="1" showInputMessage="1" showErrorMessage="1" xr:uid="{01A61B2C-0DB9-470F-94E6-BF325A2409C5}">
          <x14:formula1>
            <xm:f>Options!$X$4</xm:f>
          </x14:formula1>
          <xm:sqref>B17</xm:sqref>
        </x14:dataValidation>
        <x14:dataValidation type="list" allowBlank="1" showInputMessage="1" showErrorMessage="1" xr:uid="{0CF5DD99-E0BB-46E7-96A1-E6525BC4A96A}">
          <x14:formula1>
            <xm:f>Options!$Y$4:$Y$5</xm:f>
          </x14:formula1>
          <xm:sqref>B18</xm:sqref>
        </x14:dataValidation>
        <x14:dataValidation type="list" allowBlank="1" showInputMessage="1" showErrorMessage="1" xr:uid="{2CD42BEA-0FB9-4AC5-B5D7-1408B4BC3586}">
          <x14:formula1>
            <xm:f>Options!$Z$4:$Z$74</xm:f>
          </x14:formula1>
          <xm:sqref>B19</xm:sqref>
        </x14:dataValidation>
        <x14:dataValidation type="list" allowBlank="1" showInputMessage="1" showErrorMessage="1" xr:uid="{E1E5C6B3-C35F-4291-B4DF-8DCC80157F25}">
          <x14:formula1>
            <xm:f>Options!$G$4:$G$5</xm:f>
          </x14:formula1>
          <xm:sqref>B12</xm:sqref>
        </x14:dataValidation>
        <x14:dataValidation type="list" allowBlank="1" showInputMessage="1" showErrorMessage="1" xr:uid="{2BB7424B-426A-405F-BD42-5AB9A54374D0}">
          <x14:formula1>
            <xm:f>IF($B$8=Options!$E$4,Options!$H$5:$H$6,Options!$H$4:$H$6)</xm:f>
          </x14:formula1>
          <xm:sqref>B21</xm:sqref>
        </x14:dataValidation>
        <x14:dataValidation type="list" allowBlank="1" showInputMessage="1" showErrorMessage="1" xr:uid="{44553CB4-5090-4538-9B91-31E2F4FBC7BC}">
          <x14:formula1>
            <xm:f>IF($B$8=Options!$E$4,Options!$AD$4:$AD$103,Options!$AF$4)</xm:f>
          </x14:formula1>
          <xm:sqref>B22</xm:sqref>
        </x14:dataValidation>
        <x14:dataValidation type="list" allowBlank="1" showInputMessage="1" showErrorMessage="1" xr:uid="{7F825BEC-E09B-4A5C-979D-E808F978F34F}">
          <x14:formula1>
            <xm:f>Options!$D$4</xm:f>
          </x14:formula1>
          <xm:sqref>B24</xm:sqref>
        </x14:dataValidation>
        <x14:dataValidation type="list" allowBlank="1" showInputMessage="1" showErrorMessage="1" xr:uid="{7960D438-9314-4B83-B279-3B7FEC6102B6}">
          <x14:formula1>
            <xm:f>Options!$AB$4:$AB$5</xm:f>
          </x14:formula1>
          <xm:sqref>B10 B13</xm:sqref>
        </x14:dataValidation>
        <x14:dataValidation type="list" allowBlank="1" showInputMessage="1" showErrorMessage="1" xr:uid="{B62AE606-C682-4C61-AAA9-3D4EBCE6F51B}">
          <x14:formula1>
            <xm:f>IF($B$28=Options!$L$4,FINEX!$C$21,Options!$N$4:$N$51)</xm:f>
          </x14:formula1>
          <xm:sqref>B30</xm:sqref>
        </x14:dataValidation>
        <x14:dataValidation type="list" allowBlank="1" showInputMessage="1" showErrorMessage="1" xr:uid="{FA211872-0B6C-42B3-ABAB-23408158A329}">
          <x14:formula1>
            <xm:f>IF($B$28=Options!$L$4,Calculations!$C$172,Options!$M$4:$M$200)</xm:f>
          </x14:formula1>
          <xm:sqref>B29</xm:sqref>
        </x14:dataValidation>
        <x14:dataValidation type="list" allowBlank="1" showInputMessage="1" showErrorMessage="1" xr:uid="{D55841C6-04AE-420C-B81C-E70807967220}">
          <x14:formula1>
            <xm:f>IF($B$6=Options!$S$4,Options!$T$4,IF($B$6=Options!$S$5,Options!$U$4:$U$8,IF($B$8=Options!$E$4,Options!$W$4:$W$48,Options!$V$4:$V$53)))</xm:f>
          </x14:formula1>
          <xm:sqref>B7</xm:sqref>
        </x14:dataValidation>
        <x14:dataValidation type="list" allowBlank="1" showInputMessage="1" showErrorMessage="1" xr:uid="{A1B4F618-9CE4-4955-9BDA-DA32DE406120}">
          <x14:formula1>
            <xm:f>IF($B$28=Options!$L$4,FINEX!$C$18,Options!$P$4:$P$404)</xm:f>
          </x14:formula1>
          <xm:sqref>B32</xm:sqref>
        </x14:dataValidation>
        <x14:dataValidation type="list" allowBlank="1" showInputMessage="1" showErrorMessage="1" xr:uid="{8689FE4D-173C-4059-8DD2-6215DFF99F8D}">
          <x14:formula1>
            <xm:f>IF($B$28=Options!$L$4,FINEX!$C$19,Options!$Q$4:$Q$404)</xm:f>
          </x14:formula1>
          <xm:sqref>B33</xm:sqref>
        </x14:dataValidation>
        <x14:dataValidation type="list" allowBlank="1" showInputMessage="1" showErrorMessage="1" xr:uid="{BB7541BC-349A-47BC-B152-F451911F9247}">
          <x14:formula1>
            <xm:f>IF($B$28=Options!$L$4,Calculations!$D$172,Options!$R$4:$R$104)</xm:f>
          </x14:formula1>
          <xm:sqref>B34</xm:sqref>
        </x14:dataValidation>
        <x14:dataValidation type="list" allowBlank="1" showInputMessage="1" showErrorMessage="1" xr:uid="{A5DB6B92-34FB-48F7-A793-76F51EA0E25C}">
          <x14:formula1>
            <xm:f>Options!$AA$4:$AA$5</xm:f>
          </x14:formula1>
          <xm:sqref>B20</xm:sqref>
        </x14:dataValidation>
        <x14:dataValidation type="list" allowBlank="1" showInputMessage="1" showErrorMessage="1" xr:uid="{17AE60AC-1349-49A2-B761-BBEB77DF4220}">
          <x14:formula1>
            <xm:f>IF($B$10=Options!$AB$4,Calculations!$B$757,Options!$AC$4:$AC$183)</xm:f>
          </x14:formula1>
          <xm:sqref>B11</xm:sqref>
        </x14:dataValidation>
        <x14:dataValidation type="list" allowBlank="1" showInputMessage="1" showErrorMessage="1" xr:uid="{BFAD4AE9-263F-4DAA-9F34-B58663D18820}">
          <x14:formula1>
            <xm:f>IF($B$8=Options!$E$4,Options!$AF$4,Options!$G$4:$G$5)</xm:f>
          </x14:formula1>
          <xm:sqref>B12:B13</xm:sqref>
        </x14:dataValidation>
        <x14:dataValidation type="list" allowBlank="1" showInputMessage="1" showErrorMessage="1" xr:uid="{4553B469-C3B6-4640-B92E-4EB3B22CDEE1}">
          <x14:formula1>
            <xm:f>IF($B$28=Options!$L$4,FINEX!$C$17,Options!$AD$4:$AD$103)</xm:f>
          </x14:formula1>
          <xm:sqref>B31</xm:sqref>
        </x14:dataValidation>
        <x14:dataValidation type="list" allowBlank="1" showInputMessage="1" showErrorMessage="1" xr:uid="{C7C330B7-FDDB-4505-9E70-A07698978A7C}">
          <x14:formula1>
            <xm:f>IF($B$13=Options!$AB$4,Calculations!$B$1001,Options!$AE$4:$AE$184)</xm:f>
          </x14:formula1>
          <xm:sqref>B14</xm:sqref>
        </x14:dataValidation>
        <x14:dataValidation type="list" allowBlank="1" showInputMessage="1" showErrorMessage="1" xr:uid="{2FFF01B7-162D-4AED-BBC3-5DAD94564D8C}">
          <x14:formula1>
            <xm:f>IF($B$813=Options!$AB$4,Options!$AF$4,Options!$G$4:$G$5)</xm:f>
          </x14:formula1>
          <xm:sqref>B14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8B9CF-C1A9-476B-9666-30ECD3259EAE}">
  <sheetPr codeName="Sheet1"/>
  <dimension ref="A1:CN1261"/>
  <sheetViews>
    <sheetView zoomScale="50" zoomScaleNormal="50" workbookViewId="0">
      <selection activeCell="D5" sqref="D5"/>
    </sheetView>
  </sheetViews>
  <sheetFormatPr defaultRowHeight="18.5"/>
  <cols>
    <col min="1" max="1" width="46.92578125" bestFit="1" customWidth="1"/>
    <col min="2" max="2" width="16.92578125" customWidth="1"/>
    <col min="3" max="3" width="26.5703125" customWidth="1"/>
    <col min="4" max="4" width="13.42578125" customWidth="1"/>
    <col min="5" max="5" width="13.85546875" customWidth="1"/>
    <col min="6" max="6" width="26.2109375" customWidth="1"/>
    <col min="7" max="7" width="32.78515625" customWidth="1"/>
    <col min="8" max="8" width="24.92578125" customWidth="1"/>
    <col min="9" max="9" width="19.2109375" customWidth="1"/>
    <col min="10" max="10" width="29" customWidth="1"/>
    <col min="11" max="11" width="16" customWidth="1"/>
    <col min="12" max="12" width="15.640625" customWidth="1"/>
    <col min="13" max="13" width="27.0703125" customWidth="1"/>
    <col min="14" max="14" width="37.42578125" customWidth="1"/>
    <col min="15" max="15" width="21.35546875" customWidth="1"/>
    <col min="16" max="16" width="14.28515625" customWidth="1"/>
    <col min="17" max="17" width="27.42578125" customWidth="1"/>
    <col min="18" max="18" width="20" customWidth="1"/>
    <col min="19" max="19" width="15.78515625" customWidth="1"/>
    <col min="20" max="20" width="29.0703125" customWidth="1"/>
    <col min="21" max="21" width="24.85546875" customWidth="1"/>
    <col min="22" max="22" width="19.85546875" customWidth="1"/>
    <col min="23" max="23" width="15.7109375" customWidth="1"/>
    <col min="24" max="26" width="27.85546875" customWidth="1"/>
    <col min="27" max="40" width="9.140625" customWidth="1"/>
    <col min="52" max="65" width="8.7109375" customWidth="1"/>
    <col min="70" max="70" width="15.5" bestFit="1" customWidth="1"/>
    <col min="71" max="71" width="15.5" customWidth="1"/>
    <col min="72" max="72" width="9.42578125" bestFit="1" customWidth="1"/>
  </cols>
  <sheetData>
    <row r="1" spans="1:3" ht="21">
      <c r="A1" s="216" t="s">
        <v>1145</v>
      </c>
    </row>
    <row r="3" spans="1:3" s="30" customFormat="1">
      <c r="A3" s="30" t="s">
        <v>1009</v>
      </c>
    </row>
    <row r="4" spans="1:3" s="19" customFormat="1">
      <c r="A4" t="s">
        <v>19</v>
      </c>
      <c r="B4" s="34">
        <f>'User Interface'!B4</f>
        <v>300</v>
      </c>
      <c r="C4" t="s">
        <v>20</v>
      </c>
    </row>
    <row r="5" spans="1:3" s="19" customFormat="1">
      <c r="A5"/>
      <c r="B5" s="3">
        <f>(B4*1000)/(365.25)</f>
        <v>821.35523613963039</v>
      </c>
      <c r="C5" t="s">
        <v>1116</v>
      </c>
    </row>
    <row r="6" spans="1:3" s="19" customFormat="1">
      <c r="A6"/>
      <c r="B6" s="4">
        <f>B5/24</f>
        <v>34.223134839151264</v>
      </c>
      <c r="C6" t="s">
        <v>22</v>
      </c>
    </row>
    <row r="7" spans="1:3" s="19" customFormat="1">
      <c r="A7"/>
      <c r="B7" s="5">
        <f>(B6*1000)/(60*60)</f>
        <v>9.506426344208684</v>
      </c>
      <c r="C7" t="s">
        <v>26</v>
      </c>
    </row>
    <row r="8" spans="1:3" s="19" customFormat="1">
      <c r="A8" t="s">
        <v>1043</v>
      </c>
      <c r="B8" s="34">
        <f>'User Interface'!B23</f>
        <v>500</v>
      </c>
      <c r="C8" t="s">
        <v>1048</v>
      </c>
    </row>
    <row r="9" spans="1:3" s="19" customFormat="1">
      <c r="A9" t="s">
        <v>54</v>
      </c>
      <c r="B9" s="34">
        <f>'User Interface'!B25</f>
        <v>30</v>
      </c>
      <c r="C9" t="s">
        <v>9</v>
      </c>
    </row>
    <row r="10" spans="1:3" s="19" customFormat="1">
      <c r="A10" t="s">
        <v>55</v>
      </c>
      <c r="B10">
        <f>B9*B4*1000</f>
        <v>9000000</v>
      </c>
      <c r="C10" t="s">
        <v>21</v>
      </c>
    </row>
    <row r="11" spans="1:3" s="19" customFormat="1">
      <c r="A11" t="s">
        <v>95</v>
      </c>
      <c r="B11" s="34">
        <f>'User Interface'!$B$27</f>
        <v>2024</v>
      </c>
      <c r="C11"/>
    </row>
    <row r="12" spans="1:3" s="19" customFormat="1">
      <c r="A12" t="s">
        <v>1010</v>
      </c>
      <c r="B12" s="34">
        <f>'User Interface'!$B$26</f>
        <v>2</v>
      </c>
      <c r="C12" t="s">
        <v>9</v>
      </c>
    </row>
    <row r="14" spans="1:3">
      <c r="A14" t="s">
        <v>389</v>
      </c>
      <c r="B14" s="3">
        <f>B255</f>
        <v>181.47096774193551</v>
      </c>
      <c r="C14" t="s">
        <v>60</v>
      </c>
    </row>
    <row r="15" spans="1:3">
      <c r="A15" t="s">
        <v>449</v>
      </c>
      <c r="B15" s="6">
        <f>U242</f>
        <v>7.630013045117541E-2</v>
      </c>
      <c r="C15" t="s">
        <v>450</v>
      </c>
    </row>
    <row r="17" spans="1:3">
      <c r="A17" t="s">
        <v>516</v>
      </c>
      <c r="B17" s="4">
        <f>B563</f>
        <v>22.725892457964925</v>
      </c>
      <c r="C17" t="s">
        <v>2</v>
      </c>
    </row>
    <row r="18" spans="1:3">
      <c r="A18" t="s">
        <v>517</v>
      </c>
      <c r="B18" s="4">
        <f>B565</f>
        <v>40.823361849207572</v>
      </c>
      <c r="C18" t="s">
        <v>2</v>
      </c>
    </row>
    <row r="19" spans="1:3">
      <c r="A19" t="s">
        <v>519</v>
      </c>
      <c r="B19" s="4">
        <f>B18-B17</f>
        <v>18.097469391242647</v>
      </c>
      <c r="C19" t="s">
        <v>2</v>
      </c>
    </row>
    <row r="20" spans="1:3">
      <c r="A20" t="s">
        <v>639</v>
      </c>
      <c r="B20" s="34">
        <f>'User Interface'!B5</f>
        <v>100</v>
      </c>
      <c r="C20" t="s">
        <v>8</v>
      </c>
    </row>
    <row r="22" spans="1:3">
      <c r="A22" t="s">
        <v>879</v>
      </c>
      <c r="B22" s="5">
        <f>AE242</f>
        <v>1.2436280254673089</v>
      </c>
    </row>
    <row r="23" spans="1:3">
      <c r="A23" t="s">
        <v>440</v>
      </c>
      <c r="B23" s="5">
        <f>1/0.668</f>
        <v>1.4970059880239519</v>
      </c>
    </row>
    <row r="24" spans="1:3">
      <c r="A24" t="s">
        <v>441</v>
      </c>
      <c r="B24" s="5">
        <f>1/0.655</f>
        <v>1.5267175572519083</v>
      </c>
    </row>
    <row r="25" spans="1:3">
      <c r="A25" t="s">
        <v>417</v>
      </c>
      <c r="B25">
        <f>40*50</f>
        <v>2000</v>
      </c>
      <c r="C25" t="s">
        <v>4</v>
      </c>
    </row>
    <row r="26" spans="1:3">
      <c r="A26" t="s">
        <v>413</v>
      </c>
      <c r="B26" s="14">
        <f>$B$22*AC242</f>
        <v>69070.598455625339</v>
      </c>
      <c r="C26" t="s">
        <v>418</v>
      </c>
    </row>
    <row r="27" spans="1:3">
      <c r="B27" s="6">
        <f>B26/$B$25</f>
        <v>34.535299227812672</v>
      </c>
      <c r="C27" t="s">
        <v>5</v>
      </c>
    </row>
    <row r="28" spans="1:3">
      <c r="A28" t="s">
        <v>414</v>
      </c>
      <c r="B28" s="14">
        <f>$B$23*AF242</f>
        <v>101766.53577057555</v>
      </c>
      <c r="C28" t="s">
        <v>418</v>
      </c>
    </row>
    <row r="29" spans="1:3">
      <c r="B29" s="6">
        <f>B28/$B$25</f>
        <v>50.883267885287772</v>
      </c>
      <c r="C29" t="s">
        <v>5</v>
      </c>
    </row>
    <row r="30" spans="1:3">
      <c r="A30" t="s">
        <v>415</v>
      </c>
      <c r="B30" s="14">
        <f>$B$24*AH242</f>
        <v>95944.892287949304</v>
      </c>
      <c r="C30" t="s">
        <v>418</v>
      </c>
    </row>
    <row r="31" spans="1:3">
      <c r="B31" s="6">
        <f>B30/$B$25</f>
        <v>47.972446143974651</v>
      </c>
      <c r="C31" t="s">
        <v>5</v>
      </c>
    </row>
    <row r="32" spans="1:3">
      <c r="A32" t="s">
        <v>416</v>
      </c>
      <c r="B32" s="14">
        <f>$B$24*AJ242</f>
        <v>92510.225534374185</v>
      </c>
      <c r="C32" t="s">
        <v>418</v>
      </c>
    </row>
    <row r="33" spans="1:3" ht="19.5" customHeight="1">
      <c r="B33" s="6">
        <f>B32/$B$25</f>
        <v>46.255112767187093</v>
      </c>
      <c r="C33" t="s">
        <v>5</v>
      </c>
    </row>
    <row r="34" spans="1:3" ht="19.5" customHeight="1">
      <c r="A34" t="s">
        <v>826</v>
      </c>
      <c r="B34" s="14">
        <f>AL242*B23</f>
        <v>67707.596050219188</v>
      </c>
      <c r="C34" t="s">
        <v>418</v>
      </c>
    </row>
    <row r="35" spans="1:3" ht="19.5" customHeight="1">
      <c r="B35" s="6">
        <f>B34/$B$25</f>
        <v>33.853798025109597</v>
      </c>
      <c r="C35" t="s">
        <v>5</v>
      </c>
    </row>
    <row r="36" spans="1:3">
      <c r="A36" t="s">
        <v>1005</v>
      </c>
      <c r="B36" s="15">
        <v>0.04</v>
      </c>
      <c r="C36" t="s">
        <v>289</v>
      </c>
    </row>
    <row r="37" spans="1:3">
      <c r="A37" t="s">
        <v>1006</v>
      </c>
      <c r="B37" s="15">
        <v>0.01</v>
      </c>
      <c r="C37" t="s">
        <v>289</v>
      </c>
    </row>
    <row r="38" spans="1:3">
      <c r="B38" s="4"/>
    </row>
    <row r="39" spans="1:3">
      <c r="A39" s="19" t="s">
        <v>53</v>
      </c>
      <c r="B39" s="22">
        <f>AB242/A55</f>
        <v>0.43490508690688584</v>
      </c>
      <c r="C39" s="19" t="s">
        <v>234</v>
      </c>
    </row>
    <row r="40" spans="1:3">
      <c r="A40" s="19"/>
      <c r="B40" s="22"/>
      <c r="C40" s="19"/>
    </row>
    <row r="41" spans="1:3">
      <c r="A41" t="s">
        <v>412</v>
      </c>
      <c r="B41" s="4">
        <f>Y242</f>
        <v>11.975189223672025</v>
      </c>
      <c r="C41" t="s">
        <v>31</v>
      </c>
    </row>
    <row r="42" spans="1:3">
      <c r="B42" s="3">
        <f>B41+A68</f>
        <v>285.12518922367201</v>
      </c>
      <c r="C42" t="s">
        <v>402</v>
      </c>
    </row>
    <row r="43" spans="1:3">
      <c r="A43" t="s">
        <v>899</v>
      </c>
      <c r="B43" s="3">
        <v>1.01325</v>
      </c>
      <c r="C43" t="s">
        <v>72</v>
      </c>
    </row>
    <row r="44" spans="1:3">
      <c r="B44" s="4">
        <f>B43/10</f>
        <v>0.101325</v>
      </c>
      <c r="C44" t="s">
        <v>900</v>
      </c>
    </row>
    <row r="45" spans="1:3">
      <c r="A45" s="19"/>
      <c r="B45" s="22"/>
      <c r="C45" s="19"/>
    </row>
    <row r="46" spans="1:3" s="30" customFormat="1">
      <c r="A46" s="30" t="s">
        <v>543</v>
      </c>
    </row>
    <row r="47" spans="1:3">
      <c r="A47">
        <v>3.78541178</v>
      </c>
      <c r="B47" t="s">
        <v>1</v>
      </c>
    </row>
    <row r="48" spans="1:3">
      <c r="A48" s="1">
        <v>2.2046199999999998</v>
      </c>
      <c r="B48" t="s">
        <v>13</v>
      </c>
    </row>
    <row r="49" spans="1:2">
      <c r="A49" s="5">
        <f>A48*(1000/2000)</f>
        <v>1.1023099999999999</v>
      </c>
      <c r="B49" t="s">
        <v>456</v>
      </c>
    </row>
    <row r="50" spans="1:2">
      <c r="A50" s="3">
        <v>1000</v>
      </c>
      <c r="B50" t="s">
        <v>1114</v>
      </c>
    </row>
    <row r="51" spans="1:2">
      <c r="A51">
        <v>1.60934</v>
      </c>
      <c r="B51" t="s">
        <v>11</v>
      </c>
    </row>
    <row r="52" spans="1:2">
      <c r="A52">
        <v>0.30480000000000002</v>
      </c>
      <c r="B52" t="s">
        <v>102</v>
      </c>
    </row>
    <row r="53" spans="1:2">
      <c r="A53" s="5">
        <f>A52^2</f>
        <v>9.2903040000000006E-2</v>
      </c>
      <c r="B53" t="s">
        <v>237</v>
      </c>
    </row>
    <row r="54" spans="1:2">
      <c r="A54" s="5">
        <f>A53*A57</f>
        <v>0.8361273600000001</v>
      </c>
      <c r="B54" t="s">
        <v>238</v>
      </c>
    </row>
    <row r="55" spans="1:2">
      <c r="A55" s="3">
        <v>4046.86</v>
      </c>
      <c r="B55" t="s">
        <v>52</v>
      </c>
    </row>
    <row r="56" spans="1:2">
      <c r="A56">
        <v>43560</v>
      </c>
      <c r="B56" t="s">
        <v>214</v>
      </c>
    </row>
    <row r="57" spans="1:2">
      <c r="A57">
        <v>9</v>
      </c>
      <c r="B57" t="s">
        <v>215</v>
      </c>
    </row>
    <row r="58" spans="1:2">
      <c r="A58" s="5">
        <f>A52^3</f>
        <v>2.8316846592000004E-2</v>
      </c>
      <c r="B58" t="s">
        <v>40</v>
      </c>
    </row>
    <row r="59" spans="1:2">
      <c r="A59">
        <v>27</v>
      </c>
      <c r="B59" t="s">
        <v>235</v>
      </c>
    </row>
    <row r="60" spans="1:2">
      <c r="A60" s="5">
        <f>A58*A59</f>
        <v>0.76455485798400014</v>
      </c>
      <c r="B60" t="s">
        <v>236</v>
      </c>
    </row>
    <row r="61" spans="1:2">
      <c r="A61" s="3">
        <v>60</v>
      </c>
      <c r="B61" t="s">
        <v>628</v>
      </c>
    </row>
    <row r="62" spans="1:2">
      <c r="A62" s="3">
        <v>3600</v>
      </c>
      <c r="B62" t="s">
        <v>559</v>
      </c>
    </row>
    <row r="63" spans="1:2">
      <c r="A63" s="3">
        <v>60</v>
      </c>
      <c r="B63" t="s">
        <v>627</v>
      </c>
    </row>
    <row r="64" spans="1:2">
      <c r="A64" s="3">
        <v>24</v>
      </c>
      <c r="B64" t="s">
        <v>580</v>
      </c>
    </row>
    <row r="65" spans="1:3">
      <c r="A65" s="3">
        <v>365.25</v>
      </c>
      <c r="B65" t="s">
        <v>216</v>
      </c>
    </row>
    <row r="66" spans="1:3">
      <c r="A66" s="3">
        <v>14.5038</v>
      </c>
      <c r="B66" t="s">
        <v>586</v>
      </c>
    </row>
    <row r="67" spans="1:3">
      <c r="A67" s="3">
        <v>10</v>
      </c>
      <c r="B67" t="s">
        <v>1115</v>
      </c>
    </row>
    <row r="68" spans="1:3">
      <c r="A68">
        <v>273.14999999999998</v>
      </c>
      <c r="B68" t="s">
        <v>402</v>
      </c>
    </row>
    <row r="69" spans="1:3">
      <c r="A69" t="s">
        <v>549</v>
      </c>
      <c r="B69" s="47">
        <v>5.6703744199999997E-8</v>
      </c>
      <c r="C69" t="s">
        <v>550</v>
      </c>
    </row>
    <row r="70" spans="1:3">
      <c r="B70" s="47"/>
    </row>
    <row r="71" spans="1:3" s="30" customFormat="1">
      <c r="A71" s="30" t="s">
        <v>469</v>
      </c>
      <c r="B71" s="38"/>
    </row>
    <row r="72" spans="1:3" s="19" customFormat="1">
      <c r="A72" t="s">
        <v>1107</v>
      </c>
      <c r="B72" s="5">
        <v>10.18</v>
      </c>
      <c r="C72" t="s">
        <v>770</v>
      </c>
    </row>
    <row r="73" spans="1:3" s="19" customFormat="1">
      <c r="A73" t="s">
        <v>468</v>
      </c>
      <c r="B73">
        <v>0.84</v>
      </c>
      <c r="C73" t="s">
        <v>0</v>
      </c>
    </row>
    <row r="74" spans="1:3" s="19" customFormat="1">
      <c r="A74" s="19" t="s">
        <v>767</v>
      </c>
      <c r="B74" s="19">
        <v>0.12948799999999999</v>
      </c>
      <c r="C74" s="19" t="s">
        <v>768</v>
      </c>
    </row>
    <row r="75" spans="1:3" s="19" customFormat="1">
      <c r="B75" s="42">
        <f>(B74/0.947817)*1000000</f>
        <v>136617.08958585886</v>
      </c>
      <c r="C75" s="19" t="s">
        <v>910</v>
      </c>
    </row>
    <row r="76" spans="1:3" s="19" customFormat="1">
      <c r="A76" s="19" t="s">
        <v>769</v>
      </c>
      <c r="B76" s="19">
        <v>17700</v>
      </c>
      <c r="C76" s="19" t="s">
        <v>766</v>
      </c>
    </row>
    <row r="77" spans="1:3" s="19" customFormat="1">
      <c r="B77" s="59">
        <f>(B76/1000)*B74</f>
        <v>2.2919375999999998</v>
      </c>
      <c r="C77" s="19" t="s">
        <v>770</v>
      </c>
    </row>
    <row r="78" spans="1:3" s="19" customFormat="1">
      <c r="A78" s="19" t="s">
        <v>771</v>
      </c>
      <c r="B78" s="59">
        <f>B77+B72</f>
        <v>12.4719376</v>
      </c>
      <c r="C78" s="19" t="s">
        <v>770</v>
      </c>
    </row>
    <row r="79" spans="1:3" s="19" customFormat="1">
      <c r="A79" t="s">
        <v>67</v>
      </c>
      <c r="B79" s="44">
        <v>2363</v>
      </c>
      <c r="C79" t="s">
        <v>30</v>
      </c>
    </row>
    <row r="80" spans="1:3" s="19" customFormat="1">
      <c r="A80" t="s">
        <v>527</v>
      </c>
      <c r="B80" s="44">
        <v>43.930999999999997</v>
      </c>
      <c r="C80" s="19" t="s">
        <v>772</v>
      </c>
    </row>
    <row r="81" spans="1:3" s="19" customFormat="1">
      <c r="A81"/>
      <c r="B81" s="60">
        <f>(B80*$A$48)/1000</f>
        <v>9.6851161219999982E-2</v>
      </c>
      <c r="C81" s="19" t="s">
        <v>774</v>
      </c>
    </row>
    <row r="82" spans="1:3" s="19" customFormat="1">
      <c r="A82" t="s">
        <v>100</v>
      </c>
      <c r="B82" s="44">
        <v>1111.829</v>
      </c>
      <c r="C82" s="19" t="s">
        <v>772</v>
      </c>
    </row>
    <row r="83" spans="1:3">
      <c r="B83" s="60">
        <f>(B82*$A$48)/1000</f>
        <v>2.4511604499799997</v>
      </c>
      <c r="C83" s="19" t="s">
        <v>774</v>
      </c>
    </row>
    <row r="84" spans="1:3">
      <c r="A84" t="s">
        <v>552</v>
      </c>
      <c r="B84">
        <v>43</v>
      </c>
      <c r="C84" t="s">
        <v>551</v>
      </c>
    </row>
    <row r="85" spans="1:3">
      <c r="A85" t="s">
        <v>702</v>
      </c>
      <c r="B85">
        <v>7750</v>
      </c>
      <c r="C85" t="s">
        <v>30</v>
      </c>
    </row>
    <row r="86" spans="1:3">
      <c r="A86" t="s">
        <v>553</v>
      </c>
      <c r="B86">
        <v>14.4</v>
      </c>
      <c r="C86" t="s">
        <v>551</v>
      </c>
    </row>
    <row r="87" spans="1:3">
      <c r="A87" t="s">
        <v>701</v>
      </c>
      <c r="B87">
        <v>8030</v>
      </c>
      <c r="C87" t="s">
        <v>30</v>
      </c>
    </row>
    <row r="88" spans="1:3">
      <c r="A88" t="s">
        <v>590</v>
      </c>
      <c r="B88">
        <v>0.9</v>
      </c>
      <c r="C88" s="17" t="s">
        <v>563</v>
      </c>
    </row>
    <row r="89" spans="1:3">
      <c r="A89" t="s">
        <v>604</v>
      </c>
      <c r="B89">
        <v>0.25</v>
      </c>
      <c r="C89" s="17" t="s">
        <v>563</v>
      </c>
    </row>
    <row r="90" spans="1:3">
      <c r="A90" t="s">
        <v>544</v>
      </c>
      <c r="B90" s="1">
        <f>((0.00252*$B$42)+(0.0000000798*($B$42^3))+((1.243*($B$42^0.587)*20)/((0.895*$B$42)+20)))*(1/1000)</f>
        <v>5.0627253360074178E-3</v>
      </c>
      <c r="C90" t="s">
        <v>551</v>
      </c>
    </row>
    <row r="91" spans="1:3">
      <c r="A91" t="s">
        <v>545</v>
      </c>
      <c r="B91" s="1">
        <f>((0.014*$B$42)+(0.000000085*($B$42^3))+((0.1*($B$42^0.98)*100000)/(2541.7+100000)))*(1/1000)</f>
        <v>3.0795318178038086E-2</v>
      </c>
      <c r="C91" t="s">
        <v>551</v>
      </c>
    </row>
    <row r="92" spans="1:3">
      <c r="A92" t="s">
        <v>548</v>
      </c>
      <c r="B92">
        <v>1.2040999999999999</v>
      </c>
      <c r="C92" t="s">
        <v>30</v>
      </c>
    </row>
    <row r="93" spans="1:3">
      <c r="A93" t="s">
        <v>547</v>
      </c>
      <c r="B93" s="47">
        <v>1.506E-5</v>
      </c>
      <c r="C93" t="s">
        <v>555</v>
      </c>
    </row>
    <row r="94" spans="1:3">
      <c r="A94" t="s">
        <v>546</v>
      </c>
      <c r="B94" s="47">
        <v>2.1699999999999999E-5</v>
      </c>
      <c r="C94" t="s">
        <v>555</v>
      </c>
    </row>
    <row r="95" spans="1:3">
      <c r="A95" t="s">
        <v>556</v>
      </c>
      <c r="B95" s="4">
        <f>B93/B94</f>
        <v>0.69400921658986181</v>
      </c>
      <c r="C95" s="48" t="s">
        <v>563</v>
      </c>
    </row>
    <row r="96" spans="1:3">
      <c r="A96" t="s">
        <v>613</v>
      </c>
      <c r="B96" s="4">
        <v>0.8</v>
      </c>
      <c r="C96" s="48" t="s">
        <v>563</v>
      </c>
    </row>
    <row r="97" spans="1:3">
      <c r="A97" t="s">
        <v>564</v>
      </c>
      <c r="B97" s="47">
        <f>((33.972902/($B$42/132.53))+(-164.702679*(($B$42/132.52)^(-2/3)))+(262.108546*(($B$42/132.52)^(-1/3)))-21.5346955+(-443.455815*(($B$42/132.52)^(1/3)))+(607.339582*(($B$42/132.52)^(2/3)))+(-368.790121*($B$42/132.52))+(111.296674*(($B$42/132.52)^(4/3)))+(-13.4122465*(($B$42/132.52)^(5/3))))*(4.358/1000)</f>
        <v>2.5039886705534545E-2</v>
      </c>
      <c r="C97" t="s">
        <v>551</v>
      </c>
    </row>
    <row r="98" spans="1:3">
      <c r="A98" t="s">
        <v>1108</v>
      </c>
      <c r="B98" s="3">
        <v>938.26947552447996</v>
      </c>
      <c r="C98" s="41" t="s">
        <v>581</v>
      </c>
    </row>
    <row r="99" spans="1:3">
      <c r="A99" t="s">
        <v>605</v>
      </c>
      <c r="B99">
        <v>16.399999999999999</v>
      </c>
      <c r="C99" s="41" t="s">
        <v>606</v>
      </c>
    </row>
    <row r="100" spans="1:3">
      <c r="A100" t="s">
        <v>609</v>
      </c>
      <c r="B100">
        <f>12.011+(15.999*2)</f>
        <v>44.009</v>
      </c>
      <c r="C100" s="41" t="s">
        <v>610</v>
      </c>
    </row>
    <row r="101" spans="1:3">
      <c r="A101" t="s">
        <v>1049</v>
      </c>
      <c r="B101">
        <f>(2*1.008)+15.999</f>
        <v>18.015000000000001</v>
      </c>
      <c r="C101" s="41" t="s">
        <v>610</v>
      </c>
    </row>
    <row r="102" spans="1:3">
      <c r="B102" s="47"/>
    </row>
    <row r="103" spans="1:3" s="30" customFormat="1">
      <c r="A103" s="30" t="s">
        <v>465</v>
      </c>
      <c r="B103" s="38"/>
    </row>
    <row r="104" spans="1:3" s="19" customFormat="1">
      <c r="A104" t="s">
        <v>101</v>
      </c>
      <c r="B104" s="15">
        <v>0.95</v>
      </c>
    </row>
    <row r="105" spans="1:3" s="19" customFormat="1">
      <c r="A105" s="19" t="s">
        <v>484</v>
      </c>
      <c r="B105" s="42">
        <v>90000</v>
      </c>
      <c r="C105" s="19" t="s">
        <v>12</v>
      </c>
    </row>
    <row r="106" spans="1:3" s="19" customFormat="1">
      <c r="A106" s="19" t="s">
        <v>520</v>
      </c>
      <c r="B106" s="42">
        <v>286000</v>
      </c>
      <c r="C106" s="19" t="s">
        <v>12</v>
      </c>
    </row>
    <row r="107" spans="1:3" s="19" customFormat="1">
      <c r="A107" s="19" t="s">
        <v>584</v>
      </c>
      <c r="B107" s="42">
        <v>17</v>
      </c>
      <c r="C107" s="19" t="s">
        <v>585</v>
      </c>
    </row>
    <row r="108" spans="1:3" s="19" customFormat="1">
      <c r="A108" s="19" t="s">
        <v>696</v>
      </c>
      <c r="B108" s="58">
        <v>0.1</v>
      </c>
      <c r="C108" s="57" t="s">
        <v>563</v>
      </c>
    </row>
    <row r="109" spans="1:3" s="19" customFormat="1">
      <c r="A109" s="19" t="s">
        <v>647</v>
      </c>
      <c r="B109" s="42">
        <v>30</v>
      </c>
      <c r="C109" s="19" t="s">
        <v>32</v>
      </c>
    </row>
    <row r="110" spans="1:3" s="19" customFormat="1">
      <c r="A110" s="19" t="s">
        <v>650</v>
      </c>
      <c r="B110" s="42">
        <v>11</v>
      </c>
      <c r="C110" s="19" t="s">
        <v>10</v>
      </c>
    </row>
    <row r="111" spans="1:3" s="19" customFormat="1">
      <c r="A111" s="19" t="s">
        <v>651</v>
      </c>
      <c r="B111" s="42">
        <v>14</v>
      </c>
      <c r="C111" s="19" t="s">
        <v>10</v>
      </c>
    </row>
    <row r="112" spans="1:3" s="19" customFormat="1">
      <c r="A112" s="19" t="s">
        <v>1181</v>
      </c>
      <c r="B112" s="42">
        <v>73</v>
      </c>
      <c r="C112" s="19" t="s">
        <v>963</v>
      </c>
    </row>
    <row r="113" spans="1:3" s="19" customFormat="1">
      <c r="A113" s="19" t="s">
        <v>964</v>
      </c>
      <c r="B113" s="42">
        <v>200</v>
      </c>
      <c r="C113" s="19" t="s">
        <v>963</v>
      </c>
    </row>
    <row r="114" spans="1:3">
      <c r="A114" s="5"/>
    </row>
    <row r="115" spans="1:3" s="30" customFormat="1">
      <c r="A115" s="37" t="s">
        <v>29</v>
      </c>
    </row>
    <row r="116" spans="1:3">
      <c r="A116" s="5" t="s">
        <v>430</v>
      </c>
      <c r="B116">
        <v>40</v>
      </c>
      <c r="C116" t="s">
        <v>31</v>
      </c>
    </row>
    <row r="117" spans="1:3">
      <c r="A117" s="5" t="s">
        <v>431</v>
      </c>
      <c r="B117">
        <v>1</v>
      </c>
      <c r="C117" t="s">
        <v>72</v>
      </c>
    </row>
    <row r="118" spans="1:3">
      <c r="A118" s="5" t="s">
        <v>433</v>
      </c>
      <c r="B118" s="46">
        <f>'User Interface'!B24</f>
        <v>15</v>
      </c>
      <c r="C118" t="s">
        <v>72</v>
      </c>
    </row>
    <row r="119" spans="1:3">
      <c r="A119" s="5"/>
      <c r="B119" s="4">
        <f>B118/10</f>
        <v>1.5</v>
      </c>
      <c r="C119" t="s">
        <v>74</v>
      </c>
    </row>
    <row r="120" spans="1:3">
      <c r="A120" s="5" t="s">
        <v>432</v>
      </c>
      <c r="B120" s="3">
        <f>LOOKUP(B118,$A$275:$A$284,$Q$275:$Q$284)</f>
        <v>-28.2</v>
      </c>
      <c r="C120" t="s">
        <v>31</v>
      </c>
    </row>
    <row r="121" spans="1:3">
      <c r="A121" s="5"/>
      <c r="B121" s="3">
        <f>B120+A68</f>
        <v>244.95</v>
      </c>
      <c r="C121" t="s">
        <v>402</v>
      </c>
    </row>
    <row r="122" spans="1:3">
      <c r="A122" s="5" t="s">
        <v>436</v>
      </c>
      <c r="B122" s="3">
        <f>LOOKUP(B118,$A$275:$A$284,$R$275:$R$284)</f>
        <v>1042</v>
      </c>
      <c r="C122" t="s">
        <v>30</v>
      </c>
    </row>
    <row r="123" spans="1:3">
      <c r="A123" s="5" t="s">
        <v>434</v>
      </c>
      <c r="B123">
        <v>15</v>
      </c>
      <c r="C123" t="s">
        <v>31</v>
      </c>
    </row>
    <row r="124" spans="1:3">
      <c r="A124" s="5" t="s">
        <v>435</v>
      </c>
      <c r="B124">
        <v>10</v>
      </c>
      <c r="C124" t="s">
        <v>74</v>
      </c>
    </row>
    <row r="126" spans="1:3" s="30" customFormat="1">
      <c r="A126" s="30" t="s">
        <v>463</v>
      </c>
    </row>
    <row r="127" spans="1:3">
      <c r="A127" t="s">
        <v>93</v>
      </c>
      <c r="B127" s="12">
        <v>2.3E-2</v>
      </c>
    </row>
    <row r="128" spans="1:3">
      <c r="A128" t="s">
        <v>288</v>
      </c>
      <c r="B128">
        <f>$B$11</f>
        <v>2024</v>
      </c>
      <c r="C128" t="s">
        <v>287</v>
      </c>
    </row>
    <row r="130" spans="1:5">
      <c r="B130" t="str">
        <f>"Value in "&amp;B128&amp;" USD"</f>
        <v>Value in 2024 USD</v>
      </c>
      <c r="C130" s="19" t="s">
        <v>374</v>
      </c>
    </row>
    <row r="131" spans="1:5">
      <c r="A131">
        <v>2000</v>
      </c>
      <c r="B131" s="6">
        <f t="shared" ref="B131:B151" si="0">(1+$B$127)^($B$128-A131)</f>
        <v>1.7258983322852501</v>
      </c>
      <c r="C131" s="36">
        <v>1.1215000000000002</v>
      </c>
    </row>
    <row r="132" spans="1:5">
      <c r="A132">
        <v>2001</v>
      </c>
      <c r="B132" s="6">
        <f t="shared" si="0"/>
        <v>1.6870951439738515</v>
      </c>
      <c r="C132" s="36">
        <v>1.0502500000000001</v>
      </c>
    </row>
    <row r="133" spans="1:5">
      <c r="A133">
        <v>2002</v>
      </c>
      <c r="B133" s="6">
        <f t="shared" si="0"/>
        <v>1.6491643636108035</v>
      </c>
      <c r="C133" s="36">
        <v>0.85824999999999996</v>
      </c>
      <c r="E133" s="3"/>
    </row>
    <row r="134" spans="1:5">
      <c r="A134">
        <v>2003</v>
      </c>
      <c r="B134" s="6">
        <f t="shared" si="0"/>
        <v>1.6120863769411569</v>
      </c>
      <c r="C134" s="36">
        <v>0.80199999999999994</v>
      </c>
      <c r="D134" s="3"/>
      <c r="E134" s="3"/>
    </row>
    <row r="135" spans="1:5">
      <c r="A135">
        <v>2004</v>
      </c>
      <c r="B135" s="6">
        <f t="shared" si="0"/>
        <v>1.5758420106951683</v>
      </c>
      <c r="C135" s="36">
        <v>0.80649999999999999</v>
      </c>
      <c r="D135" s="3"/>
      <c r="E135" s="3"/>
    </row>
    <row r="136" spans="1:5">
      <c r="A136">
        <v>2005</v>
      </c>
      <c r="B136" s="6">
        <f t="shared" si="0"/>
        <v>1.5404125226736738</v>
      </c>
      <c r="C136" s="36">
        <v>0.79</v>
      </c>
      <c r="D136" s="3"/>
      <c r="E136" s="3"/>
    </row>
    <row r="137" spans="1:5">
      <c r="A137">
        <v>2006</v>
      </c>
      <c r="B137" s="6">
        <f t="shared" si="0"/>
        <v>1.5057795920563775</v>
      </c>
      <c r="C137" s="36">
        <v>0.72475000000000001</v>
      </c>
      <c r="D137" s="3"/>
      <c r="E137" s="3"/>
    </row>
    <row r="138" spans="1:5">
      <c r="A138">
        <v>2007</v>
      </c>
      <c r="B138" s="6">
        <f t="shared" si="0"/>
        <v>1.4719253099280327</v>
      </c>
      <c r="C138" s="36">
        <v>0.71875</v>
      </c>
      <c r="D138" s="3"/>
      <c r="E138" s="3"/>
    </row>
    <row r="139" spans="1:5">
      <c r="A139">
        <v>2008</v>
      </c>
      <c r="B139" s="6">
        <f t="shared" si="0"/>
        <v>1.4388321700176274</v>
      </c>
      <c r="C139" s="36">
        <v>0.70274999999999999</v>
      </c>
      <c r="D139" s="3"/>
      <c r="E139" s="3"/>
    </row>
    <row r="140" spans="1:5">
      <c r="A140">
        <v>2009</v>
      </c>
      <c r="B140" s="6">
        <f t="shared" si="0"/>
        <v>1.4064830596457747</v>
      </c>
      <c r="C140" s="36">
        <v>0.79700000000000004</v>
      </c>
      <c r="D140" s="3"/>
      <c r="E140" s="3"/>
    </row>
    <row r="141" spans="1:5">
      <c r="A141">
        <v>2010</v>
      </c>
      <c r="B141" s="6">
        <f t="shared" si="0"/>
        <v>1.3748612508756355</v>
      </c>
      <c r="C141" s="36">
        <v>0.72875000000000001</v>
      </c>
      <c r="D141" s="3"/>
      <c r="E141" s="3"/>
    </row>
    <row r="142" spans="1:5">
      <c r="A142">
        <v>2011</v>
      </c>
      <c r="B142" s="6">
        <f t="shared" si="0"/>
        <v>1.3439503918627913</v>
      </c>
      <c r="C142" s="36">
        <v>0.77275000000000005</v>
      </c>
      <c r="D142" s="3"/>
      <c r="E142" s="3"/>
    </row>
    <row r="143" spans="1:5">
      <c r="A143">
        <v>2012</v>
      </c>
      <c r="B143" s="6">
        <f t="shared" si="0"/>
        <v>1.3137344983996007</v>
      </c>
      <c r="C143" s="36">
        <v>0.754</v>
      </c>
      <c r="D143" s="3"/>
      <c r="E143" s="3"/>
    </row>
    <row r="144" spans="1:5">
      <c r="A144">
        <v>2013</v>
      </c>
      <c r="B144" s="6">
        <f t="shared" si="0"/>
        <v>1.2841979456496586</v>
      </c>
      <c r="C144" s="36">
        <v>0.76850000000000007</v>
      </c>
      <c r="D144" s="3"/>
      <c r="E144" s="3"/>
    </row>
    <row r="145" spans="1:5">
      <c r="A145">
        <v>2014</v>
      </c>
      <c r="B145" s="6">
        <f t="shared" si="0"/>
        <v>1.2553254600680925</v>
      </c>
      <c r="C145" s="36">
        <v>0.90900000000000003</v>
      </c>
      <c r="D145" s="3"/>
      <c r="E145" s="3"/>
    </row>
    <row r="146" spans="1:5">
      <c r="A146">
        <v>2015</v>
      </c>
      <c r="B146" s="6">
        <f>(1+$B$127)^($B$128-A146)</f>
        <v>1.2271021115035119</v>
      </c>
      <c r="C146" s="36">
        <v>0.90575000000000006</v>
      </c>
      <c r="D146" s="3"/>
      <c r="E146" s="3"/>
    </row>
    <row r="147" spans="1:5">
      <c r="A147">
        <v>2016</v>
      </c>
      <c r="B147" s="6">
        <f t="shared" si="0"/>
        <v>1.1995133054775289</v>
      </c>
      <c r="C147" s="36">
        <v>0.87324999999999997</v>
      </c>
      <c r="D147" s="3"/>
      <c r="E147" s="3"/>
    </row>
    <row r="148" spans="1:5">
      <c r="A148">
        <v>2017</v>
      </c>
      <c r="B148" s="6">
        <f t="shared" si="0"/>
        <v>1.1725447756378582</v>
      </c>
      <c r="C148" s="36">
        <v>0.85099999999999998</v>
      </c>
      <c r="D148" s="3"/>
      <c r="E148" s="3"/>
    </row>
    <row r="149" spans="1:5">
      <c r="A149">
        <v>2018</v>
      </c>
      <c r="B149" s="6">
        <f t="shared" si="0"/>
        <v>1.1461825763810933</v>
      </c>
      <c r="C149" s="36">
        <v>0.89400000000000002</v>
      </c>
      <c r="D149" s="3"/>
      <c r="E149" s="3"/>
    </row>
    <row r="150" spans="1:5">
      <c r="A150">
        <v>2019</v>
      </c>
      <c r="B150" s="6">
        <f t="shared" si="0"/>
        <v>1.1204130756413424</v>
      </c>
      <c r="C150" s="36">
        <v>0.86900000000000011</v>
      </c>
      <c r="D150" s="3"/>
      <c r="E150" s="3"/>
    </row>
    <row r="151" spans="1:5">
      <c r="A151">
        <v>2020</v>
      </c>
      <c r="B151" s="6">
        <f t="shared" si="0"/>
        <v>1.0952229478409996</v>
      </c>
      <c r="C151" s="36">
        <v>0.86</v>
      </c>
      <c r="D151" s="3"/>
      <c r="E151" s="3"/>
    </row>
    <row r="152" spans="1:5">
      <c r="A152">
        <v>2021</v>
      </c>
      <c r="B152" s="6">
        <f>(1+$B$127)^($B$128-A152)</f>
        <v>1.0705991669999997</v>
      </c>
      <c r="C152" s="36">
        <v>0.95625000000000004</v>
      </c>
      <c r="D152" s="3"/>
      <c r="E152" s="3"/>
    </row>
    <row r="153" spans="1:5">
      <c r="A153">
        <v>2022</v>
      </c>
      <c r="B153" s="6">
        <f>(1+$B$127)^($B$128-A153)</f>
        <v>1.0465289999999998</v>
      </c>
      <c r="C153" s="36">
        <v>0.92</v>
      </c>
      <c r="D153" s="3"/>
      <c r="E153" s="3"/>
    </row>
    <row r="154" spans="1:5">
      <c r="A154">
        <v>2023</v>
      </c>
      <c r="B154" s="6">
        <f t="shared" ref="B154" si="1">(1+$B$127)^($B$128-A154)</f>
        <v>1.0229999999999999</v>
      </c>
      <c r="C154" s="36"/>
      <c r="D154" s="3"/>
      <c r="E154" s="3"/>
    </row>
    <row r="155" spans="1:5">
      <c r="A155">
        <v>2024</v>
      </c>
      <c r="B155" s="6">
        <f>(1+$B$127)^($B$128-A155)</f>
        <v>1</v>
      </c>
      <c r="C155" s="36"/>
      <c r="D155" s="3"/>
      <c r="E155" s="3"/>
    </row>
    <row r="157" spans="1:5" s="30" customFormat="1">
      <c r="A157" s="30" t="s">
        <v>831</v>
      </c>
    </row>
    <row r="158" spans="1:5">
      <c r="B158" t="s">
        <v>179</v>
      </c>
    </row>
    <row r="159" spans="1:5">
      <c r="A159" t="s">
        <v>193</v>
      </c>
      <c r="B159" s="11">
        <v>0.05</v>
      </c>
    </row>
    <row r="160" spans="1:5">
      <c r="A160" t="s">
        <v>194</v>
      </c>
      <c r="B160" s="11">
        <v>0.08</v>
      </c>
    </row>
    <row r="161" spans="1:82">
      <c r="A161" t="s">
        <v>195</v>
      </c>
      <c r="B161" s="11">
        <v>8.5000000000000006E-2</v>
      </c>
    </row>
    <row r="162" spans="1:82">
      <c r="A162" t="s">
        <v>196</v>
      </c>
      <c r="B162" s="11">
        <v>9.9400000000000002E-2</v>
      </c>
    </row>
    <row r="163" spans="1:82">
      <c r="A163" t="s">
        <v>197</v>
      </c>
      <c r="B163" s="11">
        <v>9.3299999999999994E-2</v>
      </c>
    </row>
    <row r="164" spans="1:82">
      <c r="A164" t="s">
        <v>198</v>
      </c>
      <c r="B164" s="11">
        <v>8.9599999999999999E-2</v>
      </c>
    </row>
    <row r="165" spans="1:82">
      <c r="A165" t="s">
        <v>199</v>
      </c>
      <c r="B165" s="11">
        <v>0.1032</v>
      </c>
    </row>
    <row r="166" spans="1:82">
      <c r="A166" t="s">
        <v>200</v>
      </c>
      <c r="B166" s="11">
        <v>0.1077</v>
      </c>
    </row>
    <row r="167" spans="1:82">
      <c r="A167" t="s">
        <v>200</v>
      </c>
      <c r="B167" s="12">
        <v>6.0999999999999999E-2</v>
      </c>
    </row>
    <row r="168" spans="1:82">
      <c r="B168" t="s">
        <v>6</v>
      </c>
      <c r="C168" t="s">
        <v>179</v>
      </c>
      <c r="D168" t="s">
        <v>151</v>
      </c>
    </row>
    <row r="169" spans="1:82">
      <c r="A169" t="s">
        <v>829</v>
      </c>
      <c r="B169" s="14">
        <f>SUM(B1157:B1158,B1163:B1164)</f>
        <v>29932452.097561505</v>
      </c>
      <c r="C169" s="11">
        <f>AVERAGE(B161:B162)</f>
        <v>9.2200000000000004E-2</v>
      </c>
      <c r="D169" s="15">
        <v>0.18</v>
      </c>
    </row>
    <row r="170" spans="1:82">
      <c r="A170" t="s">
        <v>830</v>
      </c>
      <c r="B170" s="14">
        <f>B1162</f>
        <v>0</v>
      </c>
      <c r="C170" s="11">
        <f>B163</f>
        <v>9.3299999999999994E-2</v>
      </c>
      <c r="D170" s="15">
        <v>0.1</v>
      </c>
    </row>
    <row r="171" spans="1:82">
      <c r="A171" t="s">
        <v>828</v>
      </c>
      <c r="B171" s="14">
        <f>SUM(B1159:B1161)</f>
        <v>18027227.270772498</v>
      </c>
      <c r="C171" s="11">
        <f>IF('User Interface'!$B$8=Options!$E$4,B164,B165)</f>
        <v>0.1032</v>
      </c>
      <c r="D171" s="15">
        <v>0.06</v>
      </c>
    </row>
    <row r="172" spans="1:82">
      <c r="A172" t="s">
        <v>375</v>
      </c>
      <c r="C172" s="11">
        <f>ROUND(SUMPRODUCT(C169:C171,B169:B171)/SUM(B169:B171),4)</f>
        <v>9.6299999999999997E-2</v>
      </c>
      <c r="D172" s="11">
        <f>SUMPRODUCT(D169:D171,B169:B171)/SUM(B169:B171)</f>
        <v>0.13489404222495646</v>
      </c>
    </row>
    <row r="174" spans="1:82" s="30" customFormat="1">
      <c r="A174" s="30" t="s">
        <v>376</v>
      </c>
    </row>
    <row r="175" spans="1:82" s="19" customFormat="1">
      <c r="A175" s="19" t="s">
        <v>1088</v>
      </c>
      <c r="B175" s="19">
        <v>2022</v>
      </c>
      <c r="BW175" s="19" t="s">
        <v>930</v>
      </c>
      <c r="BX175" s="51">
        <f>LOOKUP(BX179,$A$900:$A$906,$H$900:$H$906)</f>
        <v>5223.2526108661677</v>
      </c>
      <c r="BY175" s="51">
        <f t="shared" ref="BY175:CD175" si="2">LOOKUP(BY179,$A$900:$A$906,$H$900:$H$906)</f>
        <v>5339.4275951066811</v>
      </c>
      <c r="BZ175" s="51">
        <f t="shared" si="2"/>
        <v>5142.8171020473019</v>
      </c>
      <c r="CA175" s="51">
        <f t="shared" si="2"/>
        <v>1823.7895991415805</v>
      </c>
      <c r="CB175" s="51">
        <f t="shared" si="2"/>
        <v>2920.9271729834936</v>
      </c>
      <c r="CC175" s="51">
        <f t="shared" si="2"/>
        <v>4800.0829290402016</v>
      </c>
      <c r="CD175" s="51">
        <f t="shared" si="2"/>
        <v>4840.7873401370107</v>
      </c>
    </row>
    <row r="176" spans="1:82" s="19" customFormat="1">
      <c r="A176" s="19" t="s">
        <v>1089</v>
      </c>
      <c r="B176" s="19">
        <v>2019</v>
      </c>
      <c r="BW176" s="19" t="s">
        <v>936</v>
      </c>
      <c r="BX176" s="78">
        <f t="shared" ref="BX176:CD176" si="3">LOOKUP(BX179,$A$900:$A$906,$F$900:$F$906)</f>
        <v>0.16177161495413875</v>
      </c>
      <c r="BY176" s="78">
        <f t="shared" si="3"/>
        <v>9.226202162185744E-2</v>
      </c>
      <c r="BZ176" s="78">
        <f t="shared" si="3"/>
        <v>0.12617110418812871</v>
      </c>
      <c r="CA176" s="78">
        <f t="shared" si="3"/>
        <v>6.4971821169610464E-2</v>
      </c>
      <c r="CB176" s="78">
        <f t="shared" si="3"/>
        <v>9.2150636743814102E-2</v>
      </c>
      <c r="CC176" s="78">
        <f t="shared" si="3"/>
        <v>9.8166150829199966E-2</v>
      </c>
      <c r="CD176" s="78">
        <f t="shared" si="3"/>
        <v>0.24130868012225648</v>
      </c>
    </row>
    <row r="177" spans="1:92" s="19" customFormat="1">
      <c r="F177" s="211" t="s">
        <v>1086</v>
      </c>
      <c r="G177" s="19">
        <v>393</v>
      </c>
      <c r="H177" s="19">
        <v>614</v>
      </c>
      <c r="I177" s="19">
        <v>376</v>
      </c>
      <c r="J177" s="19">
        <v>727</v>
      </c>
      <c r="K177" s="19">
        <v>300</v>
      </c>
      <c r="L177" s="19">
        <v>418</v>
      </c>
      <c r="M177" s="19">
        <v>522</v>
      </c>
      <c r="N177" s="19">
        <v>672</v>
      </c>
      <c r="O177" s="19">
        <v>548</v>
      </c>
      <c r="P177" s="19">
        <v>563</v>
      </c>
      <c r="Q177" s="19">
        <v>547</v>
      </c>
      <c r="BW177" s="19" t="s">
        <v>980</v>
      </c>
      <c r="BX177" s="41">
        <f t="shared" ref="BX177:CD177" si="4">LOOKUP(BX179,$A$900:$A$906,$E$900:$E$906)</f>
        <v>0.6305235006082669</v>
      </c>
      <c r="BY177" s="41">
        <f t="shared" si="4"/>
        <v>0.85094165079640038</v>
      </c>
      <c r="BZ177" s="41">
        <f t="shared" si="4"/>
        <v>0.89666325318342188</v>
      </c>
      <c r="CA177" s="41">
        <f t="shared" si="4"/>
        <v>0.62444225918767349</v>
      </c>
      <c r="CB177" s="41">
        <f t="shared" si="4"/>
        <v>0.52516111756905293</v>
      </c>
      <c r="CC177" s="41">
        <f t="shared" si="4"/>
        <v>0.92567116084534729</v>
      </c>
      <c r="CD177" s="41">
        <f t="shared" si="4"/>
        <v>0.53519246931363373</v>
      </c>
    </row>
    <row r="178" spans="1:92" s="19" customFormat="1">
      <c r="F178" s="211" t="s">
        <v>1085</v>
      </c>
      <c r="G178" s="19">
        <v>439</v>
      </c>
      <c r="H178" s="19">
        <v>663</v>
      </c>
      <c r="I178" s="19">
        <v>400</v>
      </c>
      <c r="J178" s="19">
        <v>766</v>
      </c>
      <c r="K178" s="19">
        <v>323</v>
      </c>
      <c r="L178" s="19">
        <v>440</v>
      </c>
      <c r="M178" s="19">
        <v>578</v>
      </c>
      <c r="N178" s="19">
        <v>703</v>
      </c>
      <c r="O178" s="19">
        <v>583</v>
      </c>
      <c r="P178" s="19">
        <v>604</v>
      </c>
      <c r="Q178" s="19">
        <v>586</v>
      </c>
      <c r="AN178" t="s">
        <v>437</v>
      </c>
      <c r="AO178" s="19">
        <v>52.8</v>
      </c>
      <c r="AP178" s="19">
        <v>57.4</v>
      </c>
      <c r="AQ178" s="19">
        <v>56.7</v>
      </c>
      <c r="AR178" s="19">
        <v>59.2</v>
      </c>
      <c r="AS178" s="19">
        <v>57.2</v>
      </c>
      <c r="AT178" s="19">
        <v>58.9</v>
      </c>
      <c r="AU178" s="19">
        <v>53.7</v>
      </c>
      <c r="AV178" s="19">
        <v>56.8</v>
      </c>
      <c r="AW178" s="19">
        <v>58.6</v>
      </c>
      <c r="AX178" s="19">
        <v>54.9</v>
      </c>
      <c r="AY178" s="19">
        <v>57</v>
      </c>
      <c r="AZ178" s="19">
        <v>57.9</v>
      </c>
      <c r="BA178" s="19">
        <v>56.8</v>
      </c>
      <c r="BB178" s="19">
        <v>56.7</v>
      </c>
      <c r="BC178" s="19">
        <v>54.5</v>
      </c>
      <c r="BD178" s="19">
        <v>54.7</v>
      </c>
      <c r="BE178" s="19">
        <v>57.7</v>
      </c>
      <c r="BF178" s="19">
        <v>56.6</v>
      </c>
      <c r="BG178" s="19">
        <v>54.2</v>
      </c>
      <c r="BH178" s="19">
        <v>57.3</v>
      </c>
      <c r="BI178" s="19">
        <v>54.1</v>
      </c>
      <c r="BJ178" s="19">
        <v>57.1</v>
      </c>
      <c r="BK178" s="19">
        <v>53.4</v>
      </c>
      <c r="BL178" s="19">
        <v>56.7</v>
      </c>
      <c r="BM178" s="19">
        <v>56.2</v>
      </c>
      <c r="BW178" s="19" t="s">
        <v>929</v>
      </c>
      <c r="BX178" s="41">
        <f>LOOKUP(BX179,$A$900:$A$906,$C$900:$C$906)</f>
        <v>11.745664392910903</v>
      </c>
      <c r="BY178" s="41">
        <f t="shared" ref="BY178:CD178" si="5">LOOKUP(BY179,$A$900:$A$906,$C$900:$C$906)</f>
        <v>11.736607098251113</v>
      </c>
      <c r="BZ178" s="41">
        <f t="shared" si="5"/>
        <v>10.960643963033506</v>
      </c>
      <c r="CA178" s="41">
        <f t="shared" si="5"/>
        <v>10.658953711819853</v>
      </c>
      <c r="CB178" s="41">
        <f t="shared" si="5"/>
        <v>12.330600949849156</v>
      </c>
      <c r="CC178" s="41">
        <f t="shared" si="5"/>
        <v>9.7209473412342238</v>
      </c>
      <c r="CD178" s="41">
        <f t="shared" si="5"/>
        <v>11.525325115550723</v>
      </c>
    </row>
    <row r="179" spans="1:92">
      <c r="A179" t="s">
        <v>359</v>
      </c>
      <c r="B179" t="s">
        <v>360</v>
      </c>
      <c r="C179" t="s">
        <v>378</v>
      </c>
      <c r="D179" t="s">
        <v>523</v>
      </c>
      <c r="E179" t="s">
        <v>398</v>
      </c>
      <c r="F179" t="s">
        <v>1090</v>
      </c>
      <c r="G179" t="s">
        <v>1075</v>
      </c>
      <c r="H179" t="s">
        <v>1076</v>
      </c>
      <c r="I179" t="s">
        <v>1078</v>
      </c>
      <c r="J179" t="s">
        <v>1079</v>
      </c>
      <c r="K179" t="s">
        <v>1080</v>
      </c>
      <c r="L179" t="s">
        <v>1081</v>
      </c>
      <c r="M179" t="s">
        <v>1082</v>
      </c>
      <c r="N179" t="s">
        <v>1077</v>
      </c>
      <c r="O179" t="s">
        <v>1083</v>
      </c>
      <c r="P179" t="s">
        <v>1084</v>
      </c>
      <c r="Q179" t="s">
        <v>1087</v>
      </c>
      <c r="R179" t="s">
        <v>1091</v>
      </c>
      <c r="S179" t="s">
        <v>1092</v>
      </c>
      <c r="T179" t="s">
        <v>399</v>
      </c>
      <c r="U179" t="s">
        <v>447</v>
      </c>
      <c r="V179" t="s">
        <v>946</v>
      </c>
      <c r="W179" t="s">
        <v>944</v>
      </c>
      <c r="X179" t="s">
        <v>445</v>
      </c>
      <c r="Y179" t="s">
        <v>400</v>
      </c>
      <c r="Z179" t="s">
        <v>594</v>
      </c>
      <c r="AA179" t="s">
        <v>401</v>
      </c>
      <c r="AB179" t="s">
        <v>538</v>
      </c>
      <c r="AC179" t="s">
        <v>403</v>
      </c>
      <c r="AD179" t="s">
        <v>404</v>
      </c>
      <c r="AE179" t="s">
        <v>878</v>
      </c>
      <c r="AF179" t="s">
        <v>405</v>
      </c>
      <c r="AG179" t="s">
        <v>406</v>
      </c>
      <c r="AH179" t="s">
        <v>407</v>
      </c>
      <c r="AI179" t="s">
        <v>408</v>
      </c>
      <c r="AJ179" t="s">
        <v>409</v>
      </c>
      <c r="AK179" t="s">
        <v>410</v>
      </c>
      <c r="AL179" t="s">
        <v>824</v>
      </c>
      <c r="AM179" t="s">
        <v>825</v>
      </c>
      <c r="AN179" t="s">
        <v>1193</v>
      </c>
      <c r="AO179">
        <v>5</v>
      </c>
      <c r="AP179">
        <v>10</v>
      </c>
      <c r="AQ179">
        <v>15</v>
      </c>
      <c r="AR179">
        <v>20</v>
      </c>
      <c r="AS179">
        <v>24</v>
      </c>
      <c r="AT179">
        <v>25</v>
      </c>
      <c r="AU179">
        <v>26</v>
      </c>
      <c r="AV179">
        <v>35</v>
      </c>
      <c r="AW179">
        <v>40</v>
      </c>
      <c r="AX179">
        <v>45</v>
      </c>
      <c r="AY179">
        <v>55</v>
      </c>
      <c r="AZ179">
        <v>65</v>
      </c>
      <c r="BA179">
        <v>70</v>
      </c>
      <c r="BB179">
        <v>75</v>
      </c>
      <c r="BC179">
        <v>76</v>
      </c>
      <c r="BD179">
        <v>77</v>
      </c>
      <c r="BE179">
        <v>80</v>
      </c>
      <c r="BF179">
        <v>81</v>
      </c>
      <c r="BG179">
        <v>84</v>
      </c>
      <c r="BH179">
        <v>85</v>
      </c>
      <c r="BI179">
        <v>87</v>
      </c>
      <c r="BJ179">
        <v>90</v>
      </c>
      <c r="BK179">
        <v>91</v>
      </c>
      <c r="BL179">
        <v>94</v>
      </c>
      <c r="BM179">
        <v>95</v>
      </c>
      <c r="BN179" t="s">
        <v>438</v>
      </c>
      <c r="BO179" t="s">
        <v>635</v>
      </c>
      <c r="BP179" t="s">
        <v>636</v>
      </c>
      <c r="BQ179" t="s">
        <v>638</v>
      </c>
      <c r="BR179" t="s">
        <v>816</v>
      </c>
      <c r="BS179" t="s">
        <v>817</v>
      </c>
      <c r="BT179" t="s">
        <v>822</v>
      </c>
      <c r="BU179" t="s">
        <v>818</v>
      </c>
      <c r="BV179" t="s">
        <v>819</v>
      </c>
      <c r="BX179" t="s">
        <v>915</v>
      </c>
      <c r="BY179" t="s">
        <v>921</v>
      </c>
      <c r="BZ179" t="s">
        <v>916</v>
      </c>
      <c r="CA179" t="s">
        <v>920</v>
      </c>
      <c r="CB179" t="s">
        <v>917</v>
      </c>
      <c r="CC179" t="s">
        <v>918</v>
      </c>
      <c r="CD179" t="s">
        <v>919</v>
      </c>
      <c r="CE179" t="s">
        <v>928</v>
      </c>
      <c r="CF179" t="s">
        <v>981</v>
      </c>
      <c r="CG179" t="s">
        <v>938</v>
      </c>
      <c r="CH179" t="s">
        <v>939</v>
      </c>
    </row>
    <row r="180" spans="1:92">
      <c r="A180" t="s">
        <v>316</v>
      </c>
      <c r="B180" t="s">
        <v>313</v>
      </c>
      <c r="C180" s="5">
        <v>0.83494475138121438</v>
      </c>
      <c r="D180" s="15">
        <v>0.04</v>
      </c>
      <c r="E180">
        <v>794</v>
      </c>
      <c r="F180" s="3">
        <f t="shared" ref="F180:F211" si="6">(E180/$A$48)</f>
        <v>360.15277009189793</v>
      </c>
      <c r="G180">
        <v>0</v>
      </c>
      <c r="H180">
        <v>0</v>
      </c>
      <c r="I180">
        <v>0</v>
      </c>
      <c r="J180">
        <v>0</v>
      </c>
      <c r="K180">
        <v>0</v>
      </c>
      <c r="L180">
        <v>0</v>
      </c>
      <c r="M180">
        <v>0</v>
      </c>
      <c r="N180">
        <v>0</v>
      </c>
      <c r="O180">
        <v>1</v>
      </c>
      <c r="P180">
        <v>0</v>
      </c>
      <c r="Q180">
        <v>0</v>
      </c>
      <c r="R180" s="3">
        <f>SUMPRODUCT(G180:Q180,$G$177:$Q$177)/SUM(G180:Q180)</f>
        <v>548</v>
      </c>
      <c r="S180" s="3">
        <f>SUMPRODUCT(G180:Q180,$G$178:$Q$178)/SUM(G180:Q180)</f>
        <v>583</v>
      </c>
      <c r="T180">
        <v>144788893</v>
      </c>
      <c r="U180" s="6">
        <v>5.9500000000000004E-2</v>
      </c>
      <c r="V180" s="80">
        <v>3.0800000000000003E-3</v>
      </c>
      <c r="W180" s="11">
        <v>0.04</v>
      </c>
      <c r="X180" s="6">
        <f>IF($B180="NA",X$239,LOOKUP($B180,$A$232:$A$236,X$232:X$236))</f>
        <v>3.0587999999999997</v>
      </c>
      <c r="Y180">
        <v>17.8</v>
      </c>
      <c r="Z180" s="5">
        <v>5</v>
      </c>
      <c r="AA180" s="3">
        <v>131171</v>
      </c>
      <c r="AB180" s="14">
        <v>3000</v>
      </c>
      <c r="AC180" s="14">
        <v>48910</v>
      </c>
      <c r="AD180" s="3">
        <v>36730</v>
      </c>
      <c r="AE180" s="5">
        <v>1.3194221508828252</v>
      </c>
      <c r="AF180" s="14">
        <v>52270</v>
      </c>
      <c r="AG180">
        <v>1010</v>
      </c>
      <c r="AH180" s="14">
        <v>39910</v>
      </c>
      <c r="AI180">
        <v>60</v>
      </c>
      <c r="AJ180" s="14">
        <v>51840</v>
      </c>
      <c r="AK180">
        <v>150</v>
      </c>
      <c r="AL180" s="14">
        <v>39770</v>
      </c>
      <c r="AM180">
        <v>15200</v>
      </c>
      <c r="AO180" s="3">
        <v>0</v>
      </c>
      <c r="AP180" s="3">
        <v>66</v>
      </c>
      <c r="AQ180" s="3">
        <v>0</v>
      </c>
      <c r="AR180" s="3">
        <v>85</v>
      </c>
      <c r="AS180" s="3">
        <v>0</v>
      </c>
      <c r="AT180" s="3">
        <v>0</v>
      </c>
      <c r="AU180" s="3">
        <v>0</v>
      </c>
      <c r="AV180" s="3">
        <v>0</v>
      </c>
      <c r="AW180" s="3">
        <v>0</v>
      </c>
      <c r="AX180" s="3">
        <v>0</v>
      </c>
      <c r="AY180" s="3">
        <v>0</v>
      </c>
      <c r="AZ180" s="3">
        <v>367</v>
      </c>
      <c r="BA180" s="3">
        <v>0</v>
      </c>
      <c r="BB180" s="3">
        <v>0</v>
      </c>
      <c r="BC180" s="3">
        <v>0</v>
      </c>
      <c r="BD180" s="3">
        <v>0</v>
      </c>
      <c r="BE180" s="3">
        <v>0</v>
      </c>
      <c r="BF180" s="3">
        <v>0</v>
      </c>
      <c r="BG180" s="3">
        <v>0</v>
      </c>
      <c r="BH180" s="3">
        <v>80</v>
      </c>
      <c r="BI180" s="3">
        <v>0</v>
      </c>
      <c r="BJ180" s="3">
        <v>0</v>
      </c>
      <c r="BK180" s="3">
        <v>0</v>
      </c>
      <c r="BL180" s="3">
        <v>0</v>
      </c>
      <c r="BM180" s="3">
        <v>0</v>
      </c>
      <c r="BN180" s="3">
        <f>SUMPRODUCT(AO180:BM180,$AO$178:$BM$178)/SUM(AO180:BM180)</f>
        <v>57.949331103678922</v>
      </c>
      <c r="BO180">
        <v>906</v>
      </c>
      <c r="BP180" s="3">
        <v>4</v>
      </c>
      <c r="BQ180" s="1">
        <f>BP180/BO180</f>
        <v>4.4150110375275938E-3</v>
      </c>
      <c r="BR180" s="6">
        <v>0.17399999999999999</v>
      </c>
      <c r="BS180" s="6">
        <v>4.2999999999999997E-2</v>
      </c>
      <c r="BT180" s="6">
        <v>1.7000000000000001E-2</v>
      </c>
      <c r="BU180" s="6">
        <v>9.4E-2</v>
      </c>
      <c r="BV180" s="6">
        <v>2.8000000000000001E-2</v>
      </c>
      <c r="BW180" s="6"/>
      <c r="BX180" s="3">
        <v>115</v>
      </c>
      <c r="BY180" s="3">
        <v>0</v>
      </c>
      <c r="BZ180" s="3">
        <v>1400</v>
      </c>
      <c r="CA180" s="3">
        <v>27</v>
      </c>
      <c r="CB180" s="3">
        <v>0</v>
      </c>
      <c r="CC180" s="3">
        <v>1330</v>
      </c>
      <c r="CD180" s="3">
        <v>0</v>
      </c>
      <c r="CE180" s="4">
        <f>IF(SUM(BX180:CD180)=0,0,SUMPRODUCT(BX180:CD180,$BX$178:$CD$178)/SUM(BX180:CD180))</f>
        <v>10.415147864725739</v>
      </c>
      <c r="CF180" s="4">
        <f t="shared" ref="CF180:CF211" si="7">IF(SUM(BX180:CD180)=0,0,SUMPRODUCT(BX180:CD180,$BX$177:$CD$177)/SUM(BX180:CD180))</f>
        <v>0.89688069009370497</v>
      </c>
      <c r="CG180" s="14">
        <f t="shared" ref="CG180:CG211" si="8">IF(SUM(BX180:CD180)=0,0,SUMPRODUCT(BX180:CD180,$BX$175:$CD$175)/SUM(BX180:CD180))</f>
        <v>4956.1178996922436</v>
      </c>
      <c r="CH180" s="6">
        <f t="shared" ref="CH180:CH211" si="9">IF(SUM(BX180:CD180)=0,0,SUMPRODUCT(BX180:CD180,$BX$176:$CD$176)/SUM(BX180:CD180))</f>
        <v>0.11405240297963844</v>
      </c>
      <c r="CJ180" s="6"/>
    </row>
    <row r="181" spans="1:92">
      <c r="A181" t="s">
        <v>317</v>
      </c>
      <c r="B181" t="s">
        <v>37</v>
      </c>
      <c r="C181" s="5">
        <v>2.7175742574257375</v>
      </c>
      <c r="D181" s="15">
        <v>0</v>
      </c>
      <c r="E181">
        <v>1180</v>
      </c>
      <c r="F181" s="3">
        <f t="shared" si="6"/>
        <v>535.23963313405488</v>
      </c>
      <c r="G181">
        <v>0</v>
      </c>
      <c r="H181">
        <v>0</v>
      </c>
      <c r="I181">
        <v>0</v>
      </c>
      <c r="J181">
        <v>0</v>
      </c>
      <c r="K181">
        <v>0</v>
      </c>
      <c r="L181">
        <v>0</v>
      </c>
      <c r="M181">
        <v>0</v>
      </c>
      <c r="N181">
        <v>0</v>
      </c>
      <c r="O181">
        <v>0</v>
      </c>
      <c r="P181">
        <v>0</v>
      </c>
      <c r="Q181">
        <v>0</v>
      </c>
      <c r="R181" s="3">
        <v>541</v>
      </c>
      <c r="S181" s="3">
        <v>583</v>
      </c>
      <c r="T181">
        <v>6694128</v>
      </c>
      <c r="U181" s="6">
        <v>0.16940000000000002</v>
      </c>
      <c r="V181" s="80">
        <v>4.6800000000000001E-3</v>
      </c>
      <c r="W181" s="11">
        <v>5.2999999999999999E-2</v>
      </c>
      <c r="X181" s="6">
        <f>IF($B181="NA",X$239,LOOKUP($B181,$A$232:$A$236,X$232:X$236))</f>
        <v>3.2469000000000001</v>
      </c>
      <c r="Y181">
        <v>-2</v>
      </c>
      <c r="Z181" s="5">
        <v>1</v>
      </c>
      <c r="AA181" s="3">
        <v>1477953</v>
      </c>
      <c r="AB181" s="10">
        <f>AB239</f>
        <v>1760</v>
      </c>
      <c r="AC181" s="14">
        <v>59510</v>
      </c>
      <c r="AD181" s="3">
        <v>3130</v>
      </c>
      <c r="AE181" s="5">
        <v>1.2756302521008405</v>
      </c>
      <c r="AF181" s="14">
        <v>78630</v>
      </c>
      <c r="AG181">
        <v>100</v>
      </c>
      <c r="AH181" s="10">
        <v>60049.845201238393</v>
      </c>
      <c r="AI181" s="8">
        <v>0</v>
      </c>
      <c r="AJ181" s="14">
        <v>67580</v>
      </c>
      <c r="AK181">
        <v>170</v>
      </c>
      <c r="AL181" s="14">
        <v>56430</v>
      </c>
      <c r="AM181">
        <v>430</v>
      </c>
      <c r="AO181" s="3">
        <v>0</v>
      </c>
      <c r="AP181" s="3">
        <v>0</v>
      </c>
      <c r="AQ181" s="3">
        <v>0</v>
      </c>
      <c r="AR181" s="3">
        <v>0</v>
      </c>
      <c r="AS181" s="3">
        <v>0</v>
      </c>
      <c r="AT181" s="3">
        <v>0</v>
      </c>
      <c r="AU181" s="3">
        <v>0</v>
      </c>
      <c r="AV181" s="3">
        <v>0</v>
      </c>
      <c r="AW181" s="3">
        <v>0</v>
      </c>
      <c r="AX181" s="3">
        <v>0</v>
      </c>
      <c r="AY181" s="3">
        <v>0</v>
      </c>
      <c r="AZ181" s="3">
        <v>0</v>
      </c>
      <c r="BA181" s="3">
        <v>0</v>
      </c>
      <c r="BB181" s="3">
        <v>0</v>
      </c>
      <c r="BC181" s="3">
        <v>0</v>
      </c>
      <c r="BD181" s="3">
        <v>0</v>
      </c>
      <c r="BE181" s="3">
        <v>0</v>
      </c>
      <c r="BF181" s="3">
        <v>0</v>
      </c>
      <c r="BG181" s="3">
        <v>0</v>
      </c>
      <c r="BH181" s="3">
        <v>0</v>
      </c>
      <c r="BI181" s="3">
        <v>0</v>
      </c>
      <c r="BJ181" s="3">
        <v>0</v>
      </c>
      <c r="BK181" s="3">
        <v>0</v>
      </c>
      <c r="BL181" s="3">
        <v>0</v>
      </c>
      <c r="BM181" s="3">
        <v>0</v>
      </c>
      <c r="BN181" s="20">
        <f>AVERAGE($BN$180,$BN$182:$BN$189,$BN$191:$BN$229)</f>
        <v>56.717856976012051</v>
      </c>
      <c r="BO181">
        <v>1083</v>
      </c>
      <c r="BP181" s="3">
        <v>7</v>
      </c>
      <c r="BQ181" s="1">
        <f t="shared" ref="BQ181:BQ229" si="10">BP181/BO181</f>
        <v>6.4635272391505077E-3</v>
      </c>
      <c r="BR181" s="6">
        <v>0.156</v>
      </c>
      <c r="BS181" s="6">
        <v>4.2000000000000003E-2</v>
      </c>
      <c r="BT181" s="6">
        <v>1.0999999999999999E-2</v>
      </c>
      <c r="BU181" s="6">
        <v>7.5999999999999998E-2</v>
      </c>
      <c r="BV181" s="6">
        <v>2.3E-2</v>
      </c>
      <c r="BW181" s="6"/>
      <c r="BX181" s="3">
        <v>0</v>
      </c>
      <c r="BY181" s="3">
        <v>0</v>
      </c>
      <c r="BZ181" s="3">
        <v>0</v>
      </c>
      <c r="CA181" s="3">
        <v>0</v>
      </c>
      <c r="CB181" s="3">
        <v>0</v>
      </c>
      <c r="CC181" s="3">
        <v>0</v>
      </c>
      <c r="CD181" s="3">
        <v>0</v>
      </c>
      <c r="CE181" s="4">
        <f t="shared" ref="CE181:CE211" si="11">IF(SUM(BX181:CD181)=0,0,SUMPRODUCT(BX181:CD181,$BX$178:$CD$178)/SUM(BX181:CD181))</f>
        <v>0</v>
      </c>
      <c r="CF181" s="4">
        <f t="shared" si="7"/>
        <v>0</v>
      </c>
      <c r="CG181" s="14">
        <f t="shared" si="8"/>
        <v>0</v>
      </c>
      <c r="CH181" s="6">
        <f t="shared" si="9"/>
        <v>0</v>
      </c>
      <c r="CJ181" s="6"/>
    </row>
    <row r="182" spans="1:92">
      <c r="A182" t="s">
        <v>318</v>
      </c>
      <c r="B182" t="s">
        <v>314</v>
      </c>
      <c r="C182" s="5">
        <v>0.93489035087718986</v>
      </c>
      <c r="D182" s="15">
        <v>5.6000000000000001E-2</v>
      </c>
      <c r="E182">
        <v>692</v>
      </c>
      <c r="F182" s="3">
        <f t="shared" si="6"/>
        <v>313.88629332946272</v>
      </c>
      <c r="G182">
        <v>0</v>
      </c>
      <c r="H182">
        <v>0</v>
      </c>
      <c r="I182">
        <v>0</v>
      </c>
      <c r="J182">
        <v>0</v>
      </c>
      <c r="K182">
        <v>0</v>
      </c>
      <c r="L182">
        <v>0</v>
      </c>
      <c r="M182">
        <v>0</v>
      </c>
      <c r="N182">
        <v>0</v>
      </c>
      <c r="O182">
        <v>0</v>
      </c>
      <c r="P182">
        <v>1</v>
      </c>
      <c r="Q182">
        <v>0</v>
      </c>
      <c r="R182" s="3">
        <f t="shared" ref="R182:R229" si="12">SUMPRODUCT(G182:Q182,$G$177:$Q$177)/SUM(G182:Q182)</f>
        <v>563</v>
      </c>
      <c r="S182" s="3">
        <f t="shared" ref="S182:S229" si="13">SUMPRODUCT(G182:Q182,$G$178:$Q$178)/SUM(G182:Q182)</f>
        <v>604</v>
      </c>
      <c r="T182">
        <v>104698773</v>
      </c>
      <c r="U182" s="6">
        <v>6.2800000000000009E-2</v>
      </c>
      <c r="V182" s="80">
        <v>3.3399999999999997E-3</v>
      </c>
      <c r="W182" s="11">
        <v>6.0000000000000001E-3</v>
      </c>
      <c r="X182" s="6">
        <f>IF($B182="NA",X$239,LOOKUP($B182,$A$232:$A$236,X$232:X$236))</f>
        <v>3.2575000000000003</v>
      </c>
      <c r="Y182">
        <v>16.399999999999999</v>
      </c>
      <c r="Z182" s="5">
        <v>5.75</v>
      </c>
      <c r="AA182" s="3">
        <v>294207</v>
      </c>
      <c r="AB182" s="10">
        <f>AB239</f>
        <v>1760</v>
      </c>
      <c r="AC182" s="14">
        <v>51820</v>
      </c>
      <c r="AD182" s="3">
        <v>38760</v>
      </c>
      <c r="AE182" s="5">
        <v>1.2756302521008405</v>
      </c>
      <c r="AF182" s="14">
        <v>65820</v>
      </c>
      <c r="AG182">
        <v>660</v>
      </c>
      <c r="AH182" s="10">
        <v>74961.666666666672</v>
      </c>
      <c r="AI182" s="8">
        <v>0</v>
      </c>
      <c r="AJ182" s="14">
        <v>59890</v>
      </c>
      <c r="AK182" s="8">
        <v>0</v>
      </c>
      <c r="AL182" s="14">
        <v>42900</v>
      </c>
      <c r="AM182">
        <v>13280</v>
      </c>
      <c r="AN182" s="8"/>
      <c r="AO182" s="3">
        <v>0</v>
      </c>
      <c r="AP182" s="3">
        <v>392</v>
      </c>
      <c r="AQ182" s="3">
        <v>29</v>
      </c>
      <c r="AR182" s="3">
        <v>0</v>
      </c>
      <c r="AS182" s="3">
        <v>0</v>
      </c>
      <c r="AT182" s="3">
        <v>0</v>
      </c>
      <c r="AU182" s="3">
        <v>0</v>
      </c>
      <c r="AV182" s="3">
        <v>0</v>
      </c>
      <c r="AW182" s="3">
        <v>359</v>
      </c>
      <c r="AX182" s="3">
        <v>0</v>
      </c>
      <c r="AY182" s="3">
        <v>0</v>
      </c>
      <c r="AZ182" s="3">
        <v>0</v>
      </c>
      <c r="BA182" s="3">
        <v>0</v>
      </c>
      <c r="BB182" s="3">
        <v>0</v>
      </c>
      <c r="BC182" s="3">
        <v>0</v>
      </c>
      <c r="BD182" s="3">
        <v>0</v>
      </c>
      <c r="BE182" s="3">
        <v>0</v>
      </c>
      <c r="BF182" s="3">
        <v>0</v>
      </c>
      <c r="BG182" s="3">
        <v>0</v>
      </c>
      <c r="BH182" s="3">
        <v>0</v>
      </c>
      <c r="BI182" s="3">
        <v>0</v>
      </c>
      <c r="BJ182" s="3">
        <v>0</v>
      </c>
      <c r="BK182" s="3">
        <v>0</v>
      </c>
      <c r="BL182" s="3">
        <v>0</v>
      </c>
      <c r="BM182" s="3">
        <v>0</v>
      </c>
      <c r="BN182" s="3">
        <f t="shared" ref="BN182:BN189" si="14">SUMPRODUCT(AO182:BM182,$AO$178:$BM$178)/SUM(AO182:BM182)</f>
        <v>57.926282051282051</v>
      </c>
      <c r="BO182">
        <v>1168</v>
      </c>
      <c r="BP182" s="3">
        <v>7</v>
      </c>
      <c r="BQ182" s="1">
        <f t="shared" si="10"/>
        <v>5.9931506849315065E-3</v>
      </c>
      <c r="BR182" s="6">
        <v>0.156</v>
      </c>
      <c r="BS182" s="6">
        <v>4.2000000000000003E-2</v>
      </c>
      <c r="BT182" s="6">
        <v>1.0999999999999999E-2</v>
      </c>
      <c r="BU182" s="6">
        <v>7.5999999999999998E-2</v>
      </c>
      <c r="BV182" s="6">
        <v>2.3E-2</v>
      </c>
      <c r="BW182" s="6"/>
      <c r="BX182" s="3">
        <v>659</v>
      </c>
      <c r="BY182" s="3">
        <v>0</v>
      </c>
      <c r="BZ182" s="3">
        <v>0</v>
      </c>
      <c r="CA182" s="3">
        <v>0</v>
      </c>
      <c r="CB182" s="3">
        <v>0</v>
      </c>
      <c r="CC182" s="3">
        <v>0</v>
      </c>
      <c r="CD182" s="3">
        <v>691</v>
      </c>
      <c r="CE182" s="4">
        <f t="shared" si="11"/>
        <v>11.632883325758398</v>
      </c>
      <c r="CF182" s="4">
        <f t="shared" si="7"/>
        <v>0.581728135701162</v>
      </c>
      <c r="CG182" s="14">
        <f>IF(SUM(BX182:CD182)=0,0,SUMPRODUCT(BX182:CD182,$BX$175:$CD$175)/SUM(BX182:CD182))</f>
        <v>5027.4870537744282</v>
      </c>
      <c r="CH182" s="6">
        <f t="shared" si="9"/>
        <v>0.20248280905130123</v>
      </c>
      <c r="CJ182" s="6"/>
    </row>
    <row r="183" spans="1:92">
      <c r="A183" t="s">
        <v>319</v>
      </c>
      <c r="B183" t="s">
        <v>313</v>
      </c>
      <c r="C183" s="5">
        <v>0.91029850746268393</v>
      </c>
      <c r="D183" s="15">
        <v>6.5000000000000002E-2</v>
      </c>
      <c r="E183">
        <v>1045</v>
      </c>
      <c r="F183" s="3">
        <f t="shared" si="6"/>
        <v>474.00459036024353</v>
      </c>
      <c r="G183">
        <v>0</v>
      </c>
      <c r="H183">
        <v>0</v>
      </c>
      <c r="I183">
        <v>0</v>
      </c>
      <c r="J183">
        <v>1</v>
      </c>
      <c r="K183">
        <v>0</v>
      </c>
      <c r="L183">
        <v>0</v>
      </c>
      <c r="M183">
        <v>0</v>
      </c>
      <c r="N183">
        <v>1</v>
      </c>
      <c r="O183">
        <v>0</v>
      </c>
      <c r="P183">
        <v>0</v>
      </c>
      <c r="Q183">
        <v>0</v>
      </c>
      <c r="R183" s="3">
        <f t="shared" si="12"/>
        <v>699.5</v>
      </c>
      <c r="S183" s="3">
        <f t="shared" si="13"/>
        <v>734.5</v>
      </c>
      <c r="T183">
        <v>65905030</v>
      </c>
      <c r="U183" s="6">
        <v>6.13E-2</v>
      </c>
      <c r="V183" s="80">
        <v>3.7000000000000002E-3</v>
      </c>
      <c r="W183" s="11">
        <v>3.4000000000000002E-2</v>
      </c>
      <c r="X183" s="6">
        <f>IF($B183="NA",X$239,LOOKUP($B183,$A$232:$A$236,X$232:X$236))</f>
        <v>3.0587999999999997</v>
      </c>
      <c r="Y183">
        <v>16.2</v>
      </c>
      <c r="Z183" s="5">
        <v>4.75</v>
      </c>
      <c r="AA183" s="3">
        <v>134771</v>
      </c>
      <c r="AB183" s="14">
        <v>2900</v>
      </c>
      <c r="AC183" s="14">
        <v>47090</v>
      </c>
      <c r="AD183" s="3">
        <v>31820</v>
      </c>
      <c r="AE183" s="5">
        <v>1.3194221508828252</v>
      </c>
      <c r="AF183" s="14">
        <v>44900</v>
      </c>
      <c r="AG183">
        <v>790</v>
      </c>
      <c r="AH183" s="14">
        <v>63700</v>
      </c>
      <c r="AI183">
        <v>60</v>
      </c>
      <c r="AJ183" s="14">
        <v>64950</v>
      </c>
      <c r="AK183">
        <v>40</v>
      </c>
      <c r="AL183" s="14">
        <v>38550</v>
      </c>
      <c r="AM183">
        <v>10520</v>
      </c>
      <c r="AO183" s="3">
        <v>0</v>
      </c>
      <c r="AP183" s="3">
        <v>0</v>
      </c>
      <c r="AQ183" s="3">
        <v>0</v>
      </c>
      <c r="AR183" s="3">
        <v>0</v>
      </c>
      <c r="AS183" s="3">
        <v>0</v>
      </c>
      <c r="AT183" s="3">
        <v>0</v>
      </c>
      <c r="AU183" s="3">
        <v>0</v>
      </c>
      <c r="AV183" s="3">
        <v>0</v>
      </c>
      <c r="AW183" s="3">
        <v>285</v>
      </c>
      <c r="AX183" s="3">
        <v>0</v>
      </c>
      <c r="AY183" s="3">
        <v>70</v>
      </c>
      <c r="AZ183" s="3">
        <v>0</v>
      </c>
      <c r="BA183" s="3">
        <v>0</v>
      </c>
      <c r="BB183" s="3">
        <v>0</v>
      </c>
      <c r="BC183" s="3">
        <v>0</v>
      </c>
      <c r="BD183" s="3">
        <v>0</v>
      </c>
      <c r="BE183" s="3">
        <v>0</v>
      </c>
      <c r="BF183" s="3">
        <v>0</v>
      </c>
      <c r="BG183" s="3">
        <v>0</v>
      </c>
      <c r="BH183" s="3">
        <v>0</v>
      </c>
      <c r="BI183" s="3">
        <v>0</v>
      </c>
      <c r="BJ183" s="3">
        <v>0</v>
      </c>
      <c r="BK183" s="3">
        <v>0</v>
      </c>
      <c r="BL183" s="3">
        <v>0</v>
      </c>
      <c r="BM183" s="3">
        <v>0</v>
      </c>
      <c r="BN183" s="3">
        <f t="shared" si="14"/>
        <v>58.284507042253523</v>
      </c>
      <c r="BO183">
        <v>656</v>
      </c>
      <c r="BP183" s="3">
        <v>9</v>
      </c>
      <c r="BQ183" s="1">
        <f t="shared" si="10"/>
        <v>1.3719512195121951E-2</v>
      </c>
      <c r="BR183" s="6">
        <v>0.17399999999999999</v>
      </c>
      <c r="BS183" s="6">
        <v>4.2999999999999997E-2</v>
      </c>
      <c r="BT183" s="6">
        <v>1.7000000000000001E-2</v>
      </c>
      <c r="BU183" s="6">
        <v>9.4E-2</v>
      </c>
      <c r="BV183" s="6">
        <v>2.8000000000000001E-2</v>
      </c>
      <c r="BW183" s="6"/>
      <c r="BX183" s="3">
        <v>198</v>
      </c>
      <c r="BY183" s="3">
        <v>158</v>
      </c>
      <c r="BZ183" s="3">
        <v>0</v>
      </c>
      <c r="CA183" s="3">
        <v>0</v>
      </c>
      <c r="CB183" s="3">
        <v>158</v>
      </c>
      <c r="CC183" s="3">
        <v>0</v>
      </c>
      <c r="CD183" s="3">
        <v>1324</v>
      </c>
      <c r="CE183" s="4">
        <f t="shared" si="11"/>
        <v>11.63644770097136</v>
      </c>
      <c r="CF183" s="4">
        <f t="shared" si="7"/>
        <v>0.57174250266236648</v>
      </c>
      <c r="CG183" s="14">
        <f t="shared" si="8"/>
        <v>4759.8163812030207</v>
      </c>
      <c r="CH183" s="6">
        <f t="shared" si="9"/>
        <v>0.20710591526907682</v>
      </c>
      <c r="CJ183" s="6"/>
    </row>
    <row r="184" spans="1:92">
      <c r="A184" t="s">
        <v>247</v>
      </c>
      <c r="B184" t="s">
        <v>315</v>
      </c>
      <c r="C184" s="5">
        <v>1.2046137152777747</v>
      </c>
      <c r="D184" s="15">
        <v>7.2499999999999995E-2</v>
      </c>
      <c r="E184">
        <v>481</v>
      </c>
      <c r="F184" s="3">
        <f t="shared" si="6"/>
        <v>218.17818943854272</v>
      </c>
      <c r="G184">
        <v>1</v>
      </c>
      <c r="H184">
        <v>0</v>
      </c>
      <c r="I184">
        <v>0</v>
      </c>
      <c r="J184">
        <v>0</v>
      </c>
      <c r="K184">
        <v>0</v>
      </c>
      <c r="L184">
        <v>1</v>
      </c>
      <c r="M184">
        <v>0</v>
      </c>
      <c r="N184">
        <v>0</v>
      </c>
      <c r="O184">
        <v>0</v>
      </c>
      <c r="P184">
        <v>0</v>
      </c>
      <c r="Q184">
        <v>0</v>
      </c>
      <c r="R184" s="3">
        <f t="shared" si="12"/>
        <v>405.5</v>
      </c>
      <c r="S184" s="3">
        <f t="shared" si="13"/>
        <v>439.5</v>
      </c>
      <c r="T184">
        <v>203383857</v>
      </c>
      <c r="U184" s="6">
        <v>0.13400000000000001</v>
      </c>
      <c r="V184" s="80">
        <v>4.6800000000000001E-3</v>
      </c>
      <c r="W184" s="11">
        <v>5.2999999999999999E-2</v>
      </c>
      <c r="X184" s="7">
        <v>3.823199999999999</v>
      </c>
      <c r="Y184">
        <v>15.3</v>
      </c>
      <c r="Z184" s="5">
        <v>5.75</v>
      </c>
      <c r="AA184" s="3">
        <v>403466</v>
      </c>
      <c r="AB184" s="14">
        <v>3650</v>
      </c>
      <c r="AC184" s="14">
        <v>54850</v>
      </c>
      <c r="AD184" s="3">
        <v>186140</v>
      </c>
      <c r="AE184" s="5">
        <v>1.2756302521008405</v>
      </c>
      <c r="AF184" s="14">
        <v>62730</v>
      </c>
      <c r="AG184">
        <v>6550</v>
      </c>
      <c r="AH184" s="14">
        <v>62370</v>
      </c>
      <c r="AI184">
        <v>250</v>
      </c>
      <c r="AJ184" s="14">
        <v>55530</v>
      </c>
      <c r="AK184">
        <v>520</v>
      </c>
      <c r="AL184" s="14">
        <v>45640</v>
      </c>
      <c r="AM184">
        <v>103000</v>
      </c>
      <c r="AO184" s="3">
        <v>797</v>
      </c>
      <c r="AP184" s="3">
        <v>241</v>
      </c>
      <c r="AQ184" s="3">
        <v>287</v>
      </c>
      <c r="AR184" s="3">
        <v>0</v>
      </c>
      <c r="AS184" s="3">
        <v>0</v>
      </c>
      <c r="AT184" s="3">
        <v>0</v>
      </c>
      <c r="AU184" s="3">
        <v>0</v>
      </c>
      <c r="AV184" s="3">
        <v>0</v>
      </c>
      <c r="AW184" s="3">
        <v>155</v>
      </c>
      <c r="AX184" s="3">
        <v>0</v>
      </c>
      <c r="AY184" s="3">
        <v>0</v>
      </c>
      <c r="AZ184" s="3">
        <v>0</v>
      </c>
      <c r="BA184" s="3">
        <v>0</v>
      </c>
      <c r="BB184" s="3">
        <v>0</v>
      </c>
      <c r="BC184" s="3">
        <v>0</v>
      </c>
      <c r="BD184" s="3">
        <v>0</v>
      </c>
      <c r="BE184" s="3">
        <v>199</v>
      </c>
      <c r="BF184" s="3">
        <v>0</v>
      </c>
      <c r="BG184" s="3">
        <v>0</v>
      </c>
      <c r="BH184" s="3">
        <v>0</v>
      </c>
      <c r="BI184" s="3">
        <v>0</v>
      </c>
      <c r="BJ184" s="3">
        <v>0</v>
      </c>
      <c r="BK184" s="3">
        <v>0</v>
      </c>
      <c r="BL184" s="3">
        <v>0</v>
      </c>
      <c r="BM184" s="3">
        <v>0</v>
      </c>
      <c r="BN184" s="3">
        <f t="shared" si="14"/>
        <v>55.243120905300771</v>
      </c>
      <c r="BO184">
        <v>2455</v>
      </c>
      <c r="BP184" s="3">
        <v>20</v>
      </c>
      <c r="BQ184" s="1">
        <f t="shared" si="10"/>
        <v>8.1466395112016286E-3</v>
      </c>
      <c r="BR184" s="6">
        <v>0.156</v>
      </c>
      <c r="BS184" s="6">
        <v>4.2000000000000003E-2</v>
      </c>
      <c r="BT184" s="6">
        <v>1.0999999999999999E-2</v>
      </c>
      <c r="BU184" s="6">
        <v>7.5999999999999998E-2</v>
      </c>
      <c r="BV184" s="6">
        <v>2.3E-2</v>
      </c>
      <c r="BW184" s="6"/>
      <c r="BX184" s="3">
        <v>2114</v>
      </c>
      <c r="BY184" s="3">
        <v>0</v>
      </c>
      <c r="BZ184" s="3">
        <v>0</v>
      </c>
      <c r="CA184" s="3">
        <v>0</v>
      </c>
      <c r="CB184" s="3">
        <v>0</v>
      </c>
      <c r="CC184" s="3">
        <v>0</v>
      </c>
      <c r="CD184" s="3">
        <v>3292</v>
      </c>
      <c r="CE184" s="4">
        <f t="shared" si="11"/>
        <v>11.611488125602412</v>
      </c>
      <c r="CF184" s="4">
        <f t="shared" si="7"/>
        <v>0.5724713816622935</v>
      </c>
      <c r="CG184" s="14">
        <f t="shared" si="8"/>
        <v>4990.3492310584752</v>
      </c>
      <c r="CH184" s="6">
        <f t="shared" si="9"/>
        <v>0.21020595060590411</v>
      </c>
      <c r="CJ184" s="6"/>
    </row>
    <row r="185" spans="1:92">
      <c r="A185" t="s">
        <v>320</v>
      </c>
      <c r="B185" t="s">
        <v>314</v>
      </c>
      <c r="C185" s="5">
        <v>1.0366293929712485</v>
      </c>
      <c r="D185" s="15">
        <v>2.9000000000000001E-2</v>
      </c>
      <c r="E185">
        <v>1127</v>
      </c>
      <c r="F185" s="3">
        <f t="shared" si="6"/>
        <v>511.19920893396596</v>
      </c>
      <c r="G185">
        <v>0</v>
      </c>
      <c r="H185">
        <v>0</v>
      </c>
      <c r="I185">
        <v>0</v>
      </c>
      <c r="J185">
        <v>0</v>
      </c>
      <c r="K185">
        <v>0</v>
      </c>
      <c r="L185">
        <v>1</v>
      </c>
      <c r="M185">
        <v>0</v>
      </c>
      <c r="N185">
        <v>0</v>
      </c>
      <c r="O185">
        <v>0</v>
      </c>
      <c r="P185">
        <v>1</v>
      </c>
      <c r="Q185">
        <v>0</v>
      </c>
      <c r="R185" s="3">
        <f t="shared" si="12"/>
        <v>490.5</v>
      </c>
      <c r="S185" s="3">
        <f t="shared" si="13"/>
        <v>522</v>
      </c>
      <c r="T185">
        <v>58044009</v>
      </c>
      <c r="U185" s="6">
        <v>7.400000000000001E-2</v>
      </c>
      <c r="V185" s="80">
        <v>3.3399999999999997E-3</v>
      </c>
      <c r="W185" s="11">
        <v>6.0000000000000001E-3</v>
      </c>
      <c r="X185" s="6">
        <f t="shared" ref="X185:X229" si="15">IF($B185="NA",X$239,LOOKUP($B185,$A$232:$A$236,X$232:X$236))</f>
        <v>3.2575000000000003</v>
      </c>
      <c r="Y185">
        <v>8.1</v>
      </c>
      <c r="Z185" s="5">
        <v>5.25</v>
      </c>
      <c r="AA185" s="3">
        <v>268431</v>
      </c>
      <c r="AB185" s="14">
        <v>980</v>
      </c>
      <c r="AC185" s="14">
        <v>54720</v>
      </c>
      <c r="AD185" s="3">
        <v>27760</v>
      </c>
      <c r="AE185" s="5">
        <v>1.2756302521008405</v>
      </c>
      <c r="AF185" s="14">
        <v>67550</v>
      </c>
      <c r="AG185">
        <v>560</v>
      </c>
      <c r="AH185" s="14">
        <v>75960</v>
      </c>
      <c r="AI185">
        <v>50</v>
      </c>
      <c r="AJ185" s="14">
        <v>59150</v>
      </c>
      <c r="AK185">
        <v>80</v>
      </c>
      <c r="AL185" s="14">
        <v>45850</v>
      </c>
      <c r="AM185">
        <v>8440</v>
      </c>
      <c r="AO185" s="3">
        <v>0</v>
      </c>
      <c r="AP185" s="3">
        <v>0</v>
      </c>
      <c r="AQ185" s="3">
        <v>0</v>
      </c>
      <c r="AR185" s="3">
        <v>0</v>
      </c>
      <c r="AS185" s="3">
        <v>0</v>
      </c>
      <c r="AT185" s="3">
        <v>299</v>
      </c>
      <c r="AU185" s="3">
        <v>0</v>
      </c>
      <c r="AV185" s="3">
        <v>0</v>
      </c>
      <c r="AW185" s="3">
        <v>0</v>
      </c>
      <c r="AX185" s="3">
        <v>0</v>
      </c>
      <c r="AY185" s="3">
        <v>0</v>
      </c>
      <c r="AZ185" s="3">
        <v>0</v>
      </c>
      <c r="BA185" s="3">
        <v>450</v>
      </c>
      <c r="BB185" s="3">
        <v>0</v>
      </c>
      <c r="BC185" s="3">
        <v>184</v>
      </c>
      <c r="BD185" s="3">
        <v>0</v>
      </c>
      <c r="BE185" s="3">
        <v>0</v>
      </c>
      <c r="BF185" s="3">
        <v>0</v>
      </c>
      <c r="BG185" s="3">
        <v>0</v>
      </c>
      <c r="BH185" s="3">
        <v>0</v>
      </c>
      <c r="BI185" s="3">
        <v>0</v>
      </c>
      <c r="BJ185" s="3">
        <v>0</v>
      </c>
      <c r="BK185" s="3">
        <v>0</v>
      </c>
      <c r="BL185" s="3">
        <v>0</v>
      </c>
      <c r="BM185" s="3">
        <v>0</v>
      </c>
      <c r="BN185" s="3">
        <f t="shared" si="14"/>
        <v>57.019399785637724</v>
      </c>
      <c r="BO185">
        <v>954</v>
      </c>
      <c r="BP185" s="3">
        <v>8</v>
      </c>
      <c r="BQ185" s="1">
        <f t="shared" si="10"/>
        <v>8.385744234800839E-3</v>
      </c>
      <c r="BR185" s="6">
        <v>0.156</v>
      </c>
      <c r="BS185" s="6">
        <v>4.2000000000000003E-2</v>
      </c>
      <c r="BT185" s="6">
        <v>1.0999999999999999E-2</v>
      </c>
      <c r="BU185" s="6">
        <v>7.5999999999999998E-2</v>
      </c>
      <c r="BV185" s="6">
        <v>2.3E-2</v>
      </c>
      <c r="BW185" s="6"/>
      <c r="BX185" s="3">
        <v>1341</v>
      </c>
      <c r="BY185" s="3">
        <v>0</v>
      </c>
      <c r="BZ185" s="3">
        <v>0</v>
      </c>
      <c r="CA185" s="3">
        <v>0</v>
      </c>
      <c r="CB185" s="3">
        <v>0</v>
      </c>
      <c r="CC185" s="3">
        <v>0</v>
      </c>
      <c r="CD185" s="3">
        <v>1503</v>
      </c>
      <c r="CE185" s="4">
        <f t="shared" si="11"/>
        <v>11.629219268483213</v>
      </c>
      <c r="CF185" s="4">
        <f t="shared" si="7"/>
        <v>0.580142860651926</v>
      </c>
      <c r="CG185" s="14">
        <f t="shared" si="8"/>
        <v>5021.1269772846199</v>
      </c>
      <c r="CH185" s="6">
        <f t="shared" si="9"/>
        <v>0.20380544369804907</v>
      </c>
      <c r="CJ185" s="6"/>
    </row>
    <row r="186" spans="1:92">
      <c r="A186" t="s">
        <v>321</v>
      </c>
      <c r="B186" t="s">
        <v>312</v>
      </c>
      <c r="C186" s="5">
        <v>1.1364864864864854</v>
      </c>
      <c r="D186" s="15">
        <v>6.3500000000000001E-2</v>
      </c>
      <c r="E186">
        <v>550</v>
      </c>
      <c r="F186" s="3">
        <f t="shared" si="6"/>
        <v>249.47610018960185</v>
      </c>
      <c r="G186">
        <v>0</v>
      </c>
      <c r="H186">
        <v>0</v>
      </c>
      <c r="I186">
        <v>1</v>
      </c>
      <c r="J186">
        <v>0</v>
      </c>
      <c r="K186">
        <v>0</v>
      </c>
      <c r="L186">
        <v>0</v>
      </c>
      <c r="M186">
        <v>0</v>
      </c>
      <c r="N186">
        <v>0</v>
      </c>
      <c r="O186">
        <v>0</v>
      </c>
      <c r="P186">
        <v>0</v>
      </c>
      <c r="Q186">
        <v>0</v>
      </c>
      <c r="R186" s="3">
        <f t="shared" si="12"/>
        <v>376</v>
      </c>
      <c r="S186" s="3">
        <f t="shared" si="13"/>
        <v>400</v>
      </c>
      <c r="T186">
        <v>43054099</v>
      </c>
      <c r="U186" s="6">
        <v>0.13439999999999999</v>
      </c>
      <c r="V186" s="80">
        <v>2.82E-3</v>
      </c>
      <c r="W186" s="11">
        <v>8.5999999999999993E-2</v>
      </c>
      <c r="X186" s="6">
        <f t="shared" si="15"/>
        <v>3.2866</v>
      </c>
      <c r="Y186">
        <v>10.4</v>
      </c>
      <c r="Z186" s="5">
        <v>4.25</v>
      </c>
      <c r="AA186" s="3">
        <v>12542</v>
      </c>
      <c r="AB186" s="14">
        <v>8290</v>
      </c>
      <c r="AC186" s="14">
        <v>53910</v>
      </c>
      <c r="AD186" s="3">
        <v>15150</v>
      </c>
      <c r="AE186" s="5">
        <v>1.2645259938837918</v>
      </c>
      <c r="AF186" s="14">
        <v>82430</v>
      </c>
      <c r="AG186">
        <v>340</v>
      </c>
      <c r="AH186" s="10">
        <v>55982.7</v>
      </c>
      <c r="AI186" s="8">
        <v>0</v>
      </c>
      <c r="AJ186" s="10">
        <v>50229.389671361503</v>
      </c>
      <c r="AK186" s="8">
        <v>0</v>
      </c>
      <c r="AL186" s="14">
        <v>44200</v>
      </c>
      <c r="AM186">
        <v>2370</v>
      </c>
      <c r="AN186" s="8"/>
      <c r="AO186" s="3">
        <v>0</v>
      </c>
      <c r="AP186" s="3">
        <v>0</v>
      </c>
      <c r="AQ186" s="3">
        <v>0</v>
      </c>
      <c r="AR186" s="3">
        <v>0</v>
      </c>
      <c r="AS186" s="3">
        <v>0</v>
      </c>
      <c r="AT186" s="3">
        <v>0</v>
      </c>
      <c r="AU186" s="3">
        <v>0</v>
      </c>
      <c r="AV186" s="3">
        <v>0</v>
      </c>
      <c r="AW186" s="3">
        <v>0</v>
      </c>
      <c r="AX186" s="3">
        <v>0</v>
      </c>
      <c r="AY186" s="3">
        <v>0</v>
      </c>
      <c r="AZ186" s="3">
        <v>0</v>
      </c>
      <c r="BA186" s="3">
        <v>0</v>
      </c>
      <c r="BB186" s="3">
        <v>0</v>
      </c>
      <c r="BC186" s="3">
        <v>0</v>
      </c>
      <c r="BD186" s="3">
        <v>0</v>
      </c>
      <c r="BE186" s="3">
        <v>0</v>
      </c>
      <c r="BF186" s="3">
        <v>0</v>
      </c>
      <c r="BG186" s="3">
        <v>0</v>
      </c>
      <c r="BH186" s="3">
        <v>0</v>
      </c>
      <c r="BI186" s="3">
        <v>0</v>
      </c>
      <c r="BJ186" s="3">
        <v>0</v>
      </c>
      <c r="BK186" s="3">
        <v>58</v>
      </c>
      <c r="BL186" s="3">
        <v>0</v>
      </c>
      <c r="BM186" s="3">
        <v>112</v>
      </c>
      <c r="BN186" s="3">
        <f t="shared" si="14"/>
        <v>55.244705882352946</v>
      </c>
      <c r="BO186">
        <v>346</v>
      </c>
      <c r="BP186" s="3">
        <v>6</v>
      </c>
      <c r="BQ186" s="1">
        <f t="shared" si="10"/>
        <v>1.7341040462427744E-2</v>
      </c>
      <c r="BR186" s="6">
        <v>0.17499999999999999</v>
      </c>
      <c r="BS186" s="6">
        <v>0.04</v>
      </c>
      <c r="BT186" s="6">
        <v>1.7999999999999999E-2</v>
      </c>
      <c r="BU186" s="6">
        <v>8.4000000000000005E-2</v>
      </c>
      <c r="BV186" s="6">
        <v>4.8000000000000001E-2</v>
      </c>
      <c r="BW186" s="6"/>
      <c r="BX186" s="3">
        <v>0</v>
      </c>
      <c r="BY186" s="3">
        <v>0</v>
      </c>
      <c r="BZ186" s="3">
        <v>62</v>
      </c>
      <c r="CA186" s="3">
        <v>0</v>
      </c>
      <c r="CB186" s="3">
        <v>0</v>
      </c>
      <c r="CC186" s="3">
        <v>0</v>
      </c>
      <c r="CD186" s="3">
        <v>0</v>
      </c>
      <c r="CE186" s="4">
        <f t="shared" si="11"/>
        <v>10.960643963033506</v>
      </c>
      <c r="CF186" s="4">
        <f t="shared" si="7"/>
        <v>0.89666325318342188</v>
      </c>
      <c r="CG186" s="14">
        <f t="shared" si="8"/>
        <v>5142.8171020473019</v>
      </c>
      <c r="CH186" s="6">
        <f t="shared" si="9"/>
        <v>0.12617110418812871</v>
      </c>
      <c r="CJ186" s="6"/>
    </row>
    <row r="187" spans="1:92">
      <c r="A187" t="s">
        <v>322</v>
      </c>
      <c r="B187" t="s">
        <v>312</v>
      </c>
      <c r="C187" s="5">
        <v>1.1206250000000009</v>
      </c>
      <c r="D187" s="15">
        <v>0</v>
      </c>
      <c r="E187">
        <v>1112</v>
      </c>
      <c r="F187" s="3">
        <f t="shared" si="6"/>
        <v>504.39531529243141</v>
      </c>
      <c r="G187">
        <v>0</v>
      </c>
      <c r="H187">
        <v>0</v>
      </c>
      <c r="I187">
        <v>0</v>
      </c>
      <c r="J187">
        <v>0</v>
      </c>
      <c r="K187">
        <v>0</v>
      </c>
      <c r="L187">
        <v>0</v>
      </c>
      <c r="M187">
        <v>1</v>
      </c>
      <c r="N187">
        <v>0</v>
      </c>
      <c r="O187">
        <v>0</v>
      </c>
      <c r="P187">
        <v>0</v>
      </c>
      <c r="Q187">
        <v>0</v>
      </c>
      <c r="R187" s="3">
        <f t="shared" si="12"/>
        <v>522</v>
      </c>
      <c r="S187" s="3">
        <f t="shared" si="13"/>
        <v>578</v>
      </c>
      <c r="T187">
        <v>5308370</v>
      </c>
      <c r="U187" s="6">
        <v>7.6999999999999999E-2</v>
      </c>
      <c r="V187" s="80">
        <v>3.0800000000000003E-3</v>
      </c>
      <c r="W187" s="11">
        <v>0.04</v>
      </c>
      <c r="X187" s="6">
        <f t="shared" si="15"/>
        <v>3.2866</v>
      </c>
      <c r="Y187">
        <v>13.8</v>
      </c>
      <c r="Z187" s="5">
        <v>4.5</v>
      </c>
      <c r="AA187" s="3">
        <v>5047</v>
      </c>
      <c r="AB187" s="14">
        <v>8290</v>
      </c>
      <c r="AC187" s="14">
        <v>52860</v>
      </c>
      <c r="AD187" s="3">
        <v>7240</v>
      </c>
      <c r="AE187" s="5">
        <v>1.2645259938837918</v>
      </c>
      <c r="AF187" s="14">
        <v>62960</v>
      </c>
      <c r="AG187">
        <v>70</v>
      </c>
      <c r="AH187" s="10">
        <v>55982.7</v>
      </c>
      <c r="AI187" s="8">
        <v>0</v>
      </c>
      <c r="AJ187" s="10">
        <v>50229.389671361503</v>
      </c>
      <c r="AK187" s="8">
        <v>0</v>
      </c>
      <c r="AL187" s="14">
        <v>48020</v>
      </c>
      <c r="AM187">
        <v>5390</v>
      </c>
      <c r="AN187" s="8"/>
      <c r="AO187" s="3">
        <v>0</v>
      </c>
      <c r="AP187" s="3">
        <v>0</v>
      </c>
      <c r="AQ187" s="3">
        <v>0</v>
      </c>
      <c r="AR187" s="3">
        <v>0</v>
      </c>
      <c r="AS187" s="3">
        <v>0</v>
      </c>
      <c r="AT187" s="3">
        <v>0</v>
      </c>
      <c r="AU187" s="3">
        <v>0</v>
      </c>
      <c r="AV187" s="3">
        <v>0</v>
      </c>
      <c r="AW187" s="3">
        <v>0</v>
      </c>
      <c r="AX187" s="3">
        <v>0</v>
      </c>
      <c r="AY187" s="3">
        <v>0</v>
      </c>
      <c r="AZ187" s="3">
        <v>0</v>
      </c>
      <c r="BA187" s="3">
        <v>0</v>
      </c>
      <c r="BB187" s="3">
        <v>0</v>
      </c>
      <c r="BC187" s="3">
        <v>0</v>
      </c>
      <c r="BD187" s="3">
        <v>0</v>
      </c>
      <c r="BE187" s="3">
        <v>0</v>
      </c>
      <c r="BF187" s="3">
        <v>0</v>
      </c>
      <c r="BG187" s="3">
        <v>0</v>
      </c>
      <c r="BH187" s="3">
        <v>0</v>
      </c>
      <c r="BI187" s="3">
        <v>0</v>
      </c>
      <c r="BJ187" s="3">
        <v>0</v>
      </c>
      <c r="BK187" s="3">
        <v>0</v>
      </c>
      <c r="BL187" s="3">
        <v>0</v>
      </c>
      <c r="BM187" s="3">
        <v>23</v>
      </c>
      <c r="BN187" s="3">
        <f t="shared" si="14"/>
        <v>56.2</v>
      </c>
      <c r="BO187">
        <v>41</v>
      </c>
      <c r="BP187" s="3">
        <v>0</v>
      </c>
      <c r="BQ187" s="1">
        <f t="shared" si="10"/>
        <v>0</v>
      </c>
      <c r="BR187" s="6">
        <v>0.17499999999999999</v>
      </c>
      <c r="BS187" s="6">
        <v>0.04</v>
      </c>
      <c r="BT187" s="6">
        <v>1.7999999999999999E-2</v>
      </c>
      <c r="BU187" s="6">
        <v>8.4000000000000005E-2</v>
      </c>
      <c r="BV187" s="6">
        <v>4.8000000000000001E-2</v>
      </c>
      <c r="BW187" s="6"/>
      <c r="BX187" s="3">
        <v>0</v>
      </c>
      <c r="BY187" s="3">
        <v>0</v>
      </c>
      <c r="BZ187" s="3">
        <v>46</v>
      </c>
      <c r="CA187" s="3">
        <v>0</v>
      </c>
      <c r="CB187" s="3">
        <v>0</v>
      </c>
      <c r="CC187" s="3">
        <v>181</v>
      </c>
      <c r="CD187" s="3">
        <v>0</v>
      </c>
      <c r="CE187" s="4">
        <f t="shared" si="11"/>
        <v>9.9721633967530199</v>
      </c>
      <c r="CF187" s="4">
        <f t="shared" si="7"/>
        <v>0.91979290642927425</v>
      </c>
      <c r="CG187" s="14">
        <f t="shared" si="8"/>
        <v>4869.5356689447244</v>
      </c>
      <c r="CH187" s="6">
        <f t="shared" si="9"/>
        <v>0.10384116340413707</v>
      </c>
      <c r="CJ187" s="6"/>
    </row>
    <row r="188" spans="1:92">
      <c r="A188" t="s">
        <v>323</v>
      </c>
      <c r="B188" t="s">
        <v>312</v>
      </c>
      <c r="C188" s="5">
        <v>0.8577457404980372</v>
      </c>
      <c r="D188" s="15">
        <v>0.06</v>
      </c>
      <c r="E188">
        <v>829</v>
      </c>
      <c r="F188" s="3">
        <f t="shared" si="6"/>
        <v>376.02852192214533</v>
      </c>
      <c r="G188">
        <v>0</v>
      </c>
      <c r="H188">
        <v>0</v>
      </c>
      <c r="I188">
        <v>0</v>
      </c>
      <c r="J188">
        <v>0</v>
      </c>
      <c r="K188">
        <v>0</v>
      </c>
      <c r="L188">
        <v>0</v>
      </c>
      <c r="M188">
        <v>0</v>
      </c>
      <c r="N188">
        <v>0</v>
      </c>
      <c r="O188">
        <v>1</v>
      </c>
      <c r="P188">
        <v>0</v>
      </c>
      <c r="Q188">
        <v>0</v>
      </c>
      <c r="R188" s="3">
        <f t="shared" si="12"/>
        <v>548</v>
      </c>
      <c r="S188" s="3">
        <f t="shared" si="13"/>
        <v>583</v>
      </c>
      <c r="T188">
        <v>258910413</v>
      </c>
      <c r="U188" s="6">
        <v>7.6499999999999999E-2</v>
      </c>
      <c r="V188" s="80">
        <v>3.0800000000000003E-3</v>
      </c>
      <c r="W188" s="11">
        <v>0.04</v>
      </c>
      <c r="X188" s="6">
        <f t="shared" si="15"/>
        <v>3.2866</v>
      </c>
      <c r="Y188">
        <v>22.2</v>
      </c>
      <c r="Z188" s="5">
        <v>5.25</v>
      </c>
      <c r="AA188" s="3">
        <v>138887</v>
      </c>
      <c r="AB188" s="14">
        <v>6500</v>
      </c>
      <c r="AC188" s="14">
        <v>49690</v>
      </c>
      <c r="AD188" s="3">
        <v>99490</v>
      </c>
      <c r="AE188" s="5">
        <v>1.3194221508828252</v>
      </c>
      <c r="AF188" s="14">
        <v>63310</v>
      </c>
      <c r="AG188">
        <v>2100</v>
      </c>
      <c r="AH188" s="14">
        <v>36620</v>
      </c>
      <c r="AI188">
        <v>410</v>
      </c>
      <c r="AJ188" s="14">
        <v>46160</v>
      </c>
      <c r="AK188">
        <v>890</v>
      </c>
      <c r="AL188" s="14">
        <v>40670</v>
      </c>
      <c r="AM188">
        <v>32630</v>
      </c>
      <c r="AO188" s="3">
        <v>0</v>
      </c>
      <c r="AP188" s="3">
        <v>362</v>
      </c>
      <c r="AQ188" s="3">
        <v>0</v>
      </c>
      <c r="AR188" s="3">
        <v>0</v>
      </c>
      <c r="AS188" s="3">
        <v>0</v>
      </c>
      <c r="AT188" s="3">
        <v>0</v>
      </c>
      <c r="AU188" s="3">
        <v>0</v>
      </c>
      <c r="AV188" s="3">
        <v>0</v>
      </c>
      <c r="AW188" s="3">
        <v>0</v>
      </c>
      <c r="AX188" s="3">
        <v>0</v>
      </c>
      <c r="AY188" s="3">
        <v>0</v>
      </c>
      <c r="AZ188" s="3">
        <v>0</v>
      </c>
      <c r="BA188" s="3">
        <v>0</v>
      </c>
      <c r="BB188" s="3">
        <v>471</v>
      </c>
      <c r="BC188" s="3">
        <v>0</v>
      </c>
      <c r="BD188" s="3">
        <v>0</v>
      </c>
      <c r="BE188" s="3">
        <v>0</v>
      </c>
      <c r="BF188" s="3">
        <v>0</v>
      </c>
      <c r="BG188" s="3">
        <v>0</v>
      </c>
      <c r="BH188" s="3">
        <v>0</v>
      </c>
      <c r="BI188" s="3">
        <v>0</v>
      </c>
      <c r="BJ188" s="3">
        <v>0</v>
      </c>
      <c r="BK188" s="3">
        <v>0</v>
      </c>
      <c r="BL188" s="3">
        <v>0</v>
      </c>
      <c r="BM188" s="3">
        <v>382</v>
      </c>
      <c r="BN188" s="3">
        <f t="shared" si="14"/>
        <v>56.751358024691356</v>
      </c>
      <c r="BO188">
        <v>1472</v>
      </c>
      <c r="BP188" s="3">
        <v>10</v>
      </c>
      <c r="BQ188" s="1">
        <f t="shared" si="10"/>
        <v>6.793478260869565E-3</v>
      </c>
      <c r="BR188" s="6">
        <v>0.17399999999999999</v>
      </c>
      <c r="BS188" s="6">
        <v>4.2999999999999997E-2</v>
      </c>
      <c r="BT188" s="6">
        <v>1.7000000000000001E-2</v>
      </c>
      <c r="BU188" s="6">
        <v>9.4E-2</v>
      </c>
      <c r="BV188" s="6">
        <v>2.8000000000000001E-2</v>
      </c>
      <c r="BW188" s="6"/>
      <c r="BX188" s="3">
        <v>0</v>
      </c>
      <c r="BY188" s="3">
        <v>0</v>
      </c>
      <c r="BZ188" s="3">
        <v>1628</v>
      </c>
      <c r="CA188" s="3">
        <v>0</v>
      </c>
      <c r="CB188" s="3">
        <v>0</v>
      </c>
      <c r="CC188" s="3">
        <v>126</v>
      </c>
      <c r="CD188" s="3">
        <v>0</v>
      </c>
      <c r="CE188" s="4">
        <f t="shared" si="11"/>
        <v>10.871589359643135</v>
      </c>
      <c r="CF188" s="4">
        <f t="shared" si="7"/>
        <v>0.89874705954910172</v>
      </c>
      <c r="CG188" s="14">
        <f t="shared" si="8"/>
        <v>5118.1965172132677</v>
      </c>
      <c r="CH188" s="6">
        <f t="shared" si="9"/>
        <v>0.1241593458510563</v>
      </c>
      <c r="CJ188" s="6"/>
    </row>
    <row r="189" spans="1:92" s="8" customFormat="1">
      <c r="A189" t="s">
        <v>324</v>
      </c>
      <c r="B189" t="s">
        <v>312</v>
      </c>
      <c r="C189" s="5">
        <v>0.85948753462603633</v>
      </c>
      <c r="D189" s="15">
        <v>0.04</v>
      </c>
      <c r="E189">
        <v>761</v>
      </c>
      <c r="F189" s="3">
        <f t="shared" si="6"/>
        <v>345.18420408052185</v>
      </c>
      <c r="G189">
        <v>0</v>
      </c>
      <c r="H189">
        <v>0</v>
      </c>
      <c r="I189">
        <v>0</v>
      </c>
      <c r="J189">
        <v>0</v>
      </c>
      <c r="K189">
        <v>0</v>
      </c>
      <c r="L189">
        <v>0</v>
      </c>
      <c r="M189">
        <v>0</v>
      </c>
      <c r="N189">
        <v>0</v>
      </c>
      <c r="O189">
        <v>1</v>
      </c>
      <c r="P189">
        <v>0</v>
      </c>
      <c r="Q189">
        <v>0</v>
      </c>
      <c r="R189" s="3">
        <f t="shared" si="12"/>
        <v>548</v>
      </c>
      <c r="S189" s="3">
        <f t="shared" si="13"/>
        <v>583</v>
      </c>
      <c r="T189">
        <v>126484633</v>
      </c>
      <c r="U189" s="6">
        <v>6.1699999999999998E-2</v>
      </c>
      <c r="V189" s="80">
        <v>3.0800000000000003E-3</v>
      </c>
      <c r="W189" s="11">
        <v>0.04</v>
      </c>
      <c r="X189" s="6">
        <f t="shared" si="15"/>
        <v>3.2866</v>
      </c>
      <c r="Y189">
        <v>18.2</v>
      </c>
      <c r="Z189" s="5">
        <v>5</v>
      </c>
      <c r="AA189" s="3">
        <v>148959</v>
      </c>
      <c r="AB189" s="14">
        <v>4600</v>
      </c>
      <c r="AC189" s="14">
        <v>52610</v>
      </c>
      <c r="AD189" s="3">
        <v>74970</v>
      </c>
      <c r="AE189" s="5">
        <v>1.3194221508828252</v>
      </c>
      <c r="AF189" s="14">
        <v>52830</v>
      </c>
      <c r="AG189">
        <v>830</v>
      </c>
      <c r="AH189" s="14">
        <v>57910</v>
      </c>
      <c r="AI189">
        <v>70</v>
      </c>
      <c r="AJ189" s="14">
        <v>43540</v>
      </c>
      <c r="AK189">
        <v>260</v>
      </c>
      <c r="AL189" s="14">
        <v>41810</v>
      </c>
      <c r="AM189">
        <v>54020</v>
      </c>
      <c r="AN189"/>
      <c r="AO189" s="3">
        <v>0</v>
      </c>
      <c r="AP189" s="3">
        <v>0</v>
      </c>
      <c r="AQ189" s="3">
        <v>0</v>
      </c>
      <c r="AR189" s="3">
        <v>203</v>
      </c>
      <c r="AS189" s="3">
        <v>4</v>
      </c>
      <c r="AT189" s="3">
        <v>0</v>
      </c>
      <c r="AU189" s="3">
        <v>0</v>
      </c>
      <c r="AV189" s="3">
        <v>0</v>
      </c>
      <c r="AW189" s="3">
        <v>0</v>
      </c>
      <c r="AX189" s="3">
        <v>0</v>
      </c>
      <c r="AY189" s="3">
        <v>0</v>
      </c>
      <c r="AZ189" s="3">
        <v>0</v>
      </c>
      <c r="BA189" s="3">
        <v>0</v>
      </c>
      <c r="BB189" s="3">
        <v>355</v>
      </c>
      <c r="BC189" s="3">
        <v>0</v>
      </c>
      <c r="BD189" s="3">
        <v>0</v>
      </c>
      <c r="BE189" s="3">
        <v>0</v>
      </c>
      <c r="BF189" s="3">
        <v>0</v>
      </c>
      <c r="BG189" s="3">
        <v>0</v>
      </c>
      <c r="BH189" s="3">
        <v>172</v>
      </c>
      <c r="BI189" s="3">
        <v>0</v>
      </c>
      <c r="BJ189" s="3">
        <v>0</v>
      </c>
      <c r="BK189" s="3">
        <v>0</v>
      </c>
      <c r="BL189" s="3">
        <v>0</v>
      </c>
      <c r="BM189" s="3">
        <v>112</v>
      </c>
      <c r="BN189" s="3">
        <f t="shared" si="14"/>
        <v>57.358037825059107</v>
      </c>
      <c r="BO189">
        <v>1245</v>
      </c>
      <c r="BP189">
        <v>11</v>
      </c>
      <c r="BQ189" s="1">
        <f t="shared" si="10"/>
        <v>8.8353413654618466E-3</v>
      </c>
      <c r="BR189" s="6">
        <v>0.17399999999999999</v>
      </c>
      <c r="BS189" s="6">
        <v>4.2999999999999997E-2</v>
      </c>
      <c r="BT189" s="6">
        <v>1.7000000000000001E-2</v>
      </c>
      <c r="BU189" s="6">
        <v>9.4E-2</v>
      </c>
      <c r="BV189" s="6">
        <v>2.8000000000000001E-2</v>
      </c>
      <c r="BW189" s="6"/>
      <c r="BX189" s="3">
        <v>0</v>
      </c>
      <c r="BY189" s="3">
        <v>0</v>
      </c>
      <c r="BZ189" s="3">
        <v>1706</v>
      </c>
      <c r="CA189" s="3">
        <v>0</v>
      </c>
      <c r="CB189" s="3">
        <v>0</v>
      </c>
      <c r="CC189" s="3">
        <v>1582</v>
      </c>
      <c r="CD189" s="3">
        <v>0</v>
      </c>
      <c r="CE189" s="4">
        <f t="shared" si="11"/>
        <v>10.364171926632514</v>
      </c>
      <c r="CF189" s="4">
        <f t="shared" si="7"/>
        <v>0.9106202209210027</v>
      </c>
      <c r="CG189" s="14">
        <f t="shared" si="8"/>
        <v>4977.9127645481431</v>
      </c>
      <c r="CH189" s="6">
        <f t="shared" si="9"/>
        <v>0.11269670144669766</v>
      </c>
      <c r="CJ189" s="6"/>
      <c r="CK189"/>
      <c r="CL189"/>
      <c r="CM189"/>
      <c r="CN189"/>
    </row>
    <row r="190" spans="1:92">
      <c r="A190" t="s">
        <v>325</v>
      </c>
      <c r="B190" t="s">
        <v>37</v>
      </c>
      <c r="C190" s="5">
        <v>2.1747044334975358</v>
      </c>
      <c r="D190" s="15">
        <v>4.1660000000000003E-2</v>
      </c>
      <c r="E190">
        <v>1514</v>
      </c>
      <c r="F190" s="3">
        <f t="shared" si="6"/>
        <v>686.73966488555857</v>
      </c>
      <c r="G190">
        <v>0</v>
      </c>
      <c r="H190">
        <v>0</v>
      </c>
      <c r="I190">
        <v>0</v>
      </c>
      <c r="J190">
        <v>0</v>
      </c>
      <c r="K190">
        <v>0</v>
      </c>
      <c r="L190">
        <v>0</v>
      </c>
      <c r="M190">
        <v>0</v>
      </c>
      <c r="N190">
        <v>0</v>
      </c>
      <c r="O190">
        <v>0</v>
      </c>
      <c r="P190">
        <v>0</v>
      </c>
      <c r="Q190">
        <v>0</v>
      </c>
      <c r="R190" s="3">
        <v>862</v>
      </c>
      <c r="S190" s="3">
        <v>902</v>
      </c>
      <c r="T190">
        <v>9337434</v>
      </c>
      <c r="U190" s="6">
        <v>0.2576</v>
      </c>
      <c r="V190" s="80">
        <v>4.6800000000000001E-3</v>
      </c>
      <c r="W190" s="11">
        <v>5.2999999999999999E-2</v>
      </c>
      <c r="X190" s="6">
        <f t="shared" si="15"/>
        <v>3.2469000000000001</v>
      </c>
      <c r="Y190">
        <v>24.4</v>
      </c>
      <c r="Z190" s="5">
        <v>5.75</v>
      </c>
      <c r="AA190" s="3">
        <v>16635</v>
      </c>
      <c r="AB190" s="10">
        <f>AB239</f>
        <v>1760</v>
      </c>
      <c r="AC190" s="14">
        <v>55560</v>
      </c>
      <c r="AD190" s="3">
        <v>4030</v>
      </c>
      <c r="AE190" s="5">
        <v>1.2756302521008405</v>
      </c>
      <c r="AF190" s="14">
        <v>105170</v>
      </c>
      <c r="AG190">
        <v>240</v>
      </c>
      <c r="AH190" s="10">
        <v>60049.845201238393</v>
      </c>
      <c r="AI190" s="8">
        <v>0</v>
      </c>
      <c r="AJ190" s="10">
        <v>58063.089108910892</v>
      </c>
      <c r="AK190" s="8">
        <v>0</v>
      </c>
      <c r="AL190" s="14">
        <v>67020</v>
      </c>
      <c r="AM190">
        <v>500</v>
      </c>
      <c r="AN190" s="8"/>
      <c r="AO190" s="3">
        <v>0</v>
      </c>
      <c r="AP190" s="3">
        <v>0</v>
      </c>
      <c r="AQ190" s="3">
        <v>0</v>
      </c>
      <c r="AR190" s="3">
        <v>0</v>
      </c>
      <c r="AS190" s="3">
        <v>0</v>
      </c>
      <c r="AT190" s="3">
        <v>0</v>
      </c>
      <c r="AU190" s="3">
        <v>0</v>
      </c>
      <c r="AV190" s="3">
        <v>0</v>
      </c>
      <c r="AW190" s="3">
        <v>0</v>
      </c>
      <c r="AX190" s="3">
        <v>0</v>
      </c>
      <c r="AY190" s="3">
        <v>0</v>
      </c>
      <c r="AZ190" s="3">
        <v>0</v>
      </c>
      <c r="BA190" s="3">
        <v>0</v>
      </c>
      <c r="BB190" s="3">
        <v>0</v>
      </c>
      <c r="BC190" s="3">
        <v>0</v>
      </c>
      <c r="BD190" s="3">
        <v>0</v>
      </c>
      <c r="BE190" s="3">
        <v>0</v>
      </c>
      <c r="BF190" s="3">
        <v>0</v>
      </c>
      <c r="BG190" s="3">
        <v>0</v>
      </c>
      <c r="BH190" s="3">
        <v>0</v>
      </c>
      <c r="BI190" s="3">
        <v>0</v>
      </c>
      <c r="BJ190" s="3">
        <v>0</v>
      </c>
      <c r="BK190" s="3">
        <v>0</v>
      </c>
      <c r="BL190" s="3">
        <v>0</v>
      </c>
      <c r="BM190" s="3">
        <v>0</v>
      </c>
      <c r="BN190" s="20">
        <f>AVERAGE($BN$180,$BN$182:$BN$189,$BN$191:$BN$229)</f>
        <v>56.717856976012051</v>
      </c>
      <c r="BO190">
        <v>55</v>
      </c>
      <c r="BP190">
        <v>0</v>
      </c>
      <c r="BQ190" s="1">
        <f t="shared" si="10"/>
        <v>0</v>
      </c>
      <c r="BR190" s="6">
        <v>0.156</v>
      </c>
      <c r="BS190" s="6">
        <v>4.2000000000000003E-2</v>
      </c>
      <c r="BT190" s="6">
        <v>1.0999999999999999E-2</v>
      </c>
      <c r="BU190" s="6">
        <v>7.5999999999999998E-2</v>
      </c>
      <c r="BV190" s="6">
        <v>2.3E-2</v>
      </c>
      <c r="BW190" s="6"/>
      <c r="BX190" s="3">
        <v>0</v>
      </c>
      <c r="BY190" s="3">
        <v>0</v>
      </c>
      <c r="BZ190" s="3">
        <v>0</v>
      </c>
      <c r="CA190" s="3">
        <v>0</v>
      </c>
      <c r="CB190" s="3">
        <v>0</v>
      </c>
      <c r="CC190" s="3">
        <v>0</v>
      </c>
      <c r="CD190" s="3">
        <v>0</v>
      </c>
      <c r="CE190" s="4">
        <f t="shared" si="11"/>
        <v>0</v>
      </c>
      <c r="CF190" s="4">
        <f t="shared" si="7"/>
        <v>0</v>
      </c>
      <c r="CG190" s="14">
        <f t="shared" si="8"/>
        <v>0</v>
      </c>
      <c r="CH190" s="6">
        <f t="shared" si="9"/>
        <v>0</v>
      </c>
      <c r="CJ190" s="6"/>
    </row>
    <row r="191" spans="1:92">
      <c r="A191" t="s">
        <v>326</v>
      </c>
      <c r="B191" t="s">
        <v>314</v>
      </c>
      <c r="C191" s="5">
        <v>0.98792613636363635</v>
      </c>
      <c r="D191" s="15">
        <v>0.06</v>
      </c>
      <c r="E191">
        <v>309</v>
      </c>
      <c r="F191" s="3">
        <f t="shared" si="6"/>
        <v>140.16020901561268</v>
      </c>
      <c r="G191">
        <v>0</v>
      </c>
      <c r="H191">
        <v>0</v>
      </c>
      <c r="I191">
        <v>0</v>
      </c>
      <c r="J191">
        <v>0</v>
      </c>
      <c r="K191">
        <v>0</v>
      </c>
      <c r="L191">
        <v>1</v>
      </c>
      <c r="M191">
        <v>0</v>
      </c>
      <c r="N191">
        <v>0</v>
      </c>
      <c r="O191">
        <v>0</v>
      </c>
      <c r="P191">
        <v>0</v>
      </c>
      <c r="Q191">
        <v>0</v>
      </c>
      <c r="R191" s="3">
        <f t="shared" si="12"/>
        <v>418</v>
      </c>
      <c r="S191" s="3">
        <f t="shared" si="13"/>
        <v>440</v>
      </c>
      <c r="T191">
        <v>16278410</v>
      </c>
      <c r="U191" s="6">
        <v>6.08E-2</v>
      </c>
      <c r="V191" s="80">
        <v>3.3399999999999997E-3</v>
      </c>
      <c r="W191" s="11">
        <v>6.0000000000000001E-3</v>
      </c>
      <c r="X191" s="6">
        <f t="shared" si="15"/>
        <v>3.2575000000000003</v>
      </c>
      <c r="Y191">
        <v>6.7</v>
      </c>
      <c r="Z191" s="5">
        <v>4.5</v>
      </c>
      <c r="AA191" s="3">
        <v>214045</v>
      </c>
      <c r="AB191" s="14">
        <v>2040</v>
      </c>
      <c r="AC191" s="14">
        <v>50910</v>
      </c>
      <c r="AD191" s="3">
        <v>14030</v>
      </c>
      <c r="AE191" s="5">
        <v>1.2756302521008405</v>
      </c>
      <c r="AF191" s="14">
        <v>72860</v>
      </c>
      <c r="AG191">
        <v>90</v>
      </c>
      <c r="AH191" s="10">
        <v>74961.666666666672</v>
      </c>
      <c r="AI191" s="8">
        <v>0</v>
      </c>
      <c r="AJ191" s="10">
        <v>68916.666666666672</v>
      </c>
      <c r="AK191" s="8">
        <v>0</v>
      </c>
      <c r="AL191" s="14">
        <v>41180</v>
      </c>
      <c r="AM191">
        <v>2510</v>
      </c>
      <c r="AN191" s="8"/>
      <c r="AO191" s="3">
        <v>0</v>
      </c>
      <c r="AP191" s="3">
        <v>0</v>
      </c>
      <c r="AQ191" s="3">
        <v>196</v>
      </c>
      <c r="AR191" s="3">
        <v>0</v>
      </c>
      <c r="AS191" s="3">
        <v>0</v>
      </c>
      <c r="AT191" s="3">
        <v>0</v>
      </c>
      <c r="AU191" s="3">
        <v>0</v>
      </c>
      <c r="AV191" s="3">
        <v>0</v>
      </c>
      <c r="AW191" s="3">
        <v>0</v>
      </c>
      <c r="AX191" s="3">
        <v>0</v>
      </c>
      <c r="AY191" s="3">
        <v>0</v>
      </c>
      <c r="AZ191" s="3">
        <v>0</v>
      </c>
      <c r="BA191" s="3">
        <v>0</v>
      </c>
      <c r="BB191" s="3">
        <v>0</v>
      </c>
      <c r="BC191" s="3">
        <v>0</v>
      </c>
      <c r="BD191" s="3">
        <v>0</v>
      </c>
      <c r="BE191" s="3">
        <v>0</v>
      </c>
      <c r="BF191" s="3">
        <v>0</v>
      </c>
      <c r="BG191" s="3">
        <v>276</v>
      </c>
      <c r="BH191" s="3">
        <v>0</v>
      </c>
      <c r="BI191" s="3">
        <v>0</v>
      </c>
      <c r="BJ191" s="3">
        <v>74</v>
      </c>
      <c r="BK191" s="3">
        <v>0</v>
      </c>
      <c r="BL191" s="3">
        <v>0</v>
      </c>
      <c r="BM191" s="3">
        <v>0</v>
      </c>
      <c r="BN191" s="3">
        <f t="shared" ref="BN191:BN229" si="16">SUMPRODUCT(AO191:BM191,$AO$178:$BM$178)/SUM(AO191:BM191)</f>
        <v>55.490476190476194</v>
      </c>
      <c r="BO191">
        <v>611</v>
      </c>
      <c r="BP191" s="3">
        <v>6</v>
      </c>
      <c r="BQ191" s="1">
        <f t="shared" si="10"/>
        <v>9.8199672667757774E-3</v>
      </c>
      <c r="BR191" s="6">
        <v>0.156</v>
      </c>
      <c r="BS191" s="6">
        <v>4.2000000000000003E-2</v>
      </c>
      <c r="BT191" s="6">
        <v>1.0999999999999999E-2</v>
      </c>
      <c r="BU191" s="6">
        <v>7.5999999999999998E-2</v>
      </c>
      <c r="BV191" s="6">
        <v>2.3E-2</v>
      </c>
      <c r="BW191" s="6"/>
      <c r="BX191" s="3">
        <v>123</v>
      </c>
      <c r="BY191" s="3">
        <v>0</v>
      </c>
      <c r="BZ191" s="3">
        <v>0</v>
      </c>
      <c r="CA191" s="3">
        <v>0</v>
      </c>
      <c r="CB191" s="3">
        <v>0</v>
      </c>
      <c r="CC191" s="3">
        <v>0</v>
      </c>
      <c r="CD191" s="3">
        <v>575</v>
      </c>
      <c r="CE191" s="4">
        <f t="shared" si="11"/>
        <v>11.564152810558321</v>
      </c>
      <c r="CF191" s="4">
        <f t="shared" si="7"/>
        <v>0.55199149058761632</v>
      </c>
      <c r="CG191" s="14">
        <f t="shared" si="8"/>
        <v>4908.1845153514614</v>
      </c>
      <c r="CH191" s="6">
        <f t="shared" si="9"/>
        <v>0.22729283626025293</v>
      </c>
      <c r="CJ191" s="6"/>
    </row>
    <row r="192" spans="1:92">
      <c r="A192" t="s">
        <v>207</v>
      </c>
      <c r="B192" t="s">
        <v>201</v>
      </c>
      <c r="C192" s="5">
        <v>1.0778201634877393</v>
      </c>
      <c r="D192" s="15">
        <v>6.25E-2</v>
      </c>
      <c r="E192">
        <v>639</v>
      </c>
      <c r="F192" s="3">
        <f t="shared" si="6"/>
        <v>289.8458691293738</v>
      </c>
      <c r="G192">
        <v>0</v>
      </c>
      <c r="H192">
        <v>0</v>
      </c>
      <c r="I192">
        <v>0</v>
      </c>
      <c r="J192">
        <v>1</v>
      </c>
      <c r="K192">
        <v>0</v>
      </c>
      <c r="L192">
        <v>0</v>
      </c>
      <c r="M192">
        <v>1</v>
      </c>
      <c r="N192">
        <v>0</v>
      </c>
      <c r="O192">
        <v>0</v>
      </c>
      <c r="P192">
        <v>0</v>
      </c>
      <c r="Q192">
        <v>0</v>
      </c>
      <c r="R192" s="3">
        <f t="shared" si="12"/>
        <v>624.5</v>
      </c>
      <c r="S192" s="3">
        <f t="shared" si="13"/>
        <v>672</v>
      </c>
      <c r="T192">
        <v>185223322</v>
      </c>
      <c r="U192" s="6">
        <v>6.5199999999999994E-2</v>
      </c>
      <c r="V192" s="80">
        <v>3.0800000000000003E-3</v>
      </c>
      <c r="W192" s="11">
        <v>0.06</v>
      </c>
      <c r="X192" s="6">
        <f t="shared" si="15"/>
        <v>3.1806999999999999</v>
      </c>
      <c r="Y192">
        <v>11.5</v>
      </c>
      <c r="Z192" s="5">
        <v>4.25</v>
      </c>
      <c r="AA192" s="3">
        <v>143793</v>
      </c>
      <c r="AB192" s="14">
        <v>3820</v>
      </c>
      <c r="AC192" s="14">
        <v>55800</v>
      </c>
      <c r="AD192" s="3">
        <v>82630</v>
      </c>
      <c r="AE192" s="5">
        <v>1.277602523659306</v>
      </c>
      <c r="AF192" s="14">
        <v>58680</v>
      </c>
      <c r="AG192">
        <v>800</v>
      </c>
      <c r="AH192" s="10">
        <v>55722.07547169811</v>
      </c>
      <c r="AI192" s="8">
        <v>0</v>
      </c>
      <c r="AJ192" s="10">
        <v>58811.165048543691</v>
      </c>
      <c r="AK192" s="8">
        <v>0</v>
      </c>
      <c r="AL192" s="14">
        <v>45220</v>
      </c>
      <c r="AM192">
        <v>29780</v>
      </c>
      <c r="AN192" s="8"/>
      <c r="AO192" s="3">
        <v>0</v>
      </c>
      <c r="AP192" s="3">
        <v>0</v>
      </c>
      <c r="AQ192" s="3">
        <v>0</v>
      </c>
      <c r="AR192" s="3">
        <v>0</v>
      </c>
      <c r="AS192" s="3">
        <v>39</v>
      </c>
      <c r="AT192" s="3">
        <v>0</v>
      </c>
      <c r="AU192" s="3">
        <v>0</v>
      </c>
      <c r="AV192" s="3">
        <v>0</v>
      </c>
      <c r="AW192" s="3">
        <v>0</v>
      </c>
      <c r="AX192" s="3">
        <v>0</v>
      </c>
      <c r="AY192" s="3">
        <v>294</v>
      </c>
      <c r="AZ192" s="3">
        <v>0</v>
      </c>
      <c r="BA192" s="3">
        <v>157</v>
      </c>
      <c r="BB192" s="3">
        <v>0</v>
      </c>
      <c r="BC192" s="3">
        <v>0</v>
      </c>
      <c r="BD192" s="3">
        <v>0</v>
      </c>
      <c r="BE192" s="3">
        <v>164</v>
      </c>
      <c r="BF192" s="3">
        <v>0</v>
      </c>
      <c r="BG192" s="3">
        <v>0</v>
      </c>
      <c r="BH192" s="3">
        <v>0</v>
      </c>
      <c r="BI192" s="3">
        <v>0</v>
      </c>
      <c r="BJ192" s="3">
        <v>109</v>
      </c>
      <c r="BK192" s="3">
        <v>0</v>
      </c>
      <c r="BL192" s="3">
        <v>59</v>
      </c>
      <c r="BM192" s="3">
        <v>0</v>
      </c>
      <c r="BN192" s="3">
        <f t="shared" si="16"/>
        <v>57.102676399026777</v>
      </c>
      <c r="BO192">
        <v>2169</v>
      </c>
      <c r="BP192" s="3">
        <v>18</v>
      </c>
      <c r="BQ192" s="1">
        <f t="shared" si="10"/>
        <v>8.2987551867219917E-3</v>
      </c>
      <c r="BR192" s="6">
        <v>0.17699999999999999</v>
      </c>
      <c r="BS192" s="6">
        <v>3.7999999999999999E-2</v>
      </c>
      <c r="BT192" s="6">
        <v>1.6E-2</v>
      </c>
      <c r="BU192" s="6">
        <v>8.5000000000000006E-2</v>
      </c>
      <c r="BV192" s="6">
        <v>3.5999999999999997E-2</v>
      </c>
      <c r="BW192" s="6"/>
      <c r="BX192" s="3">
        <v>1176</v>
      </c>
      <c r="BY192" s="3">
        <v>340</v>
      </c>
      <c r="BZ192" s="3">
        <v>662</v>
      </c>
      <c r="CA192" s="3">
        <v>1270</v>
      </c>
      <c r="CB192" s="3">
        <v>340</v>
      </c>
      <c r="CC192" s="3">
        <v>847</v>
      </c>
      <c r="CD192" s="3">
        <v>1544</v>
      </c>
      <c r="CE192" s="4">
        <f t="shared" si="11"/>
        <v>11.137289845669594</v>
      </c>
      <c r="CF192" s="4">
        <f t="shared" si="7"/>
        <v>0.68075480928817067</v>
      </c>
      <c r="CG192" s="14">
        <f t="shared" si="8"/>
        <v>4242.0568535463644</v>
      </c>
      <c r="CH192" s="6">
        <f t="shared" si="9"/>
        <v>0.14156182857249366</v>
      </c>
      <c r="CJ192" s="6"/>
    </row>
    <row r="193" spans="1:88">
      <c r="A193" t="s">
        <v>206</v>
      </c>
      <c r="B193" t="s">
        <v>201</v>
      </c>
      <c r="C193" s="5">
        <v>0.91588628762541779</v>
      </c>
      <c r="D193" s="15">
        <v>7.0000000000000007E-2</v>
      </c>
      <c r="E193">
        <v>1582</v>
      </c>
      <c r="F193" s="3">
        <f t="shared" si="6"/>
        <v>717.58398272718205</v>
      </c>
      <c r="G193">
        <v>0</v>
      </c>
      <c r="H193">
        <v>0</v>
      </c>
      <c r="I193">
        <v>0</v>
      </c>
      <c r="J193">
        <v>1</v>
      </c>
      <c r="K193">
        <v>0</v>
      </c>
      <c r="L193">
        <v>0</v>
      </c>
      <c r="M193">
        <v>1</v>
      </c>
      <c r="N193">
        <v>0</v>
      </c>
      <c r="O193">
        <v>0</v>
      </c>
      <c r="P193">
        <v>0</v>
      </c>
      <c r="Q193">
        <v>0</v>
      </c>
      <c r="R193" s="3">
        <f t="shared" si="12"/>
        <v>624.5</v>
      </c>
      <c r="S193" s="3">
        <f t="shared" si="13"/>
        <v>672</v>
      </c>
      <c r="T193">
        <v>98054905</v>
      </c>
      <c r="U193" s="6">
        <v>7.3599999999999999E-2</v>
      </c>
      <c r="V193" s="80">
        <v>3.0800000000000003E-3</v>
      </c>
      <c r="W193" s="11">
        <v>0.06</v>
      </c>
      <c r="X193" s="6">
        <f t="shared" si="15"/>
        <v>3.1806999999999999</v>
      </c>
      <c r="Y193">
        <v>11.4</v>
      </c>
      <c r="Z193" s="5">
        <v>4.25</v>
      </c>
      <c r="AA193" s="3">
        <v>92789</v>
      </c>
      <c r="AB193" s="14">
        <v>2850</v>
      </c>
      <c r="AC193" s="14">
        <v>54340</v>
      </c>
      <c r="AD193" s="3">
        <v>56350</v>
      </c>
      <c r="AE193" s="5">
        <v>1.277602523659306</v>
      </c>
      <c r="AF193" s="14">
        <v>56640</v>
      </c>
      <c r="AG193">
        <v>1600</v>
      </c>
      <c r="AH193" s="14">
        <v>54060</v>
      </c>
      <c r="AI193">
        <v>50</v>
      </c>
      <c r="AJ193" s="14">
        <v>55390</v>
      </c>
      <c r="AK193">
        <v>50</v>
      </c>
      <c r="AL193" s="14">
        <v>41400</v>
      </c>
      <c r="AM193">
        <v>27330</v>
      </c>
      <c r="AO193" s="3">
        <v>0</v>
      </c>
      <c r="AP193" s="3">
        <v>0</v>
      </c>
      <c r="AQ193" s="3">
        <v>0</v>
      </c>
      <c r="AR193" s="3">
        <v>0</v>
      </c>
      <c r="AS193" s="3">
        <v>0</v>
      </c>
      <c r="AT193" s="3">
        <v>0</v>
      </c>
      <c r="AU193" s="3">
        <v>0</v>
      </c>
      <c r="AV193" s="3">
        <v>0</v>
      </c>
      <c r="AW193" s="3">
        <v>0</v>
      </c>
      <c r="AX193" s="3">
        <v>0</v>
      </c>
      <c r="AY193" s="3">
        <v>0</v>
      </c>
      <c r="AZ193" s="3">
        <v>261</v>
      </c>
      <c r="BA193" s="3">
        <v>154</v>
      </c>
      <c r="BB193" s="3">
        <v>0</v>
      </c>
      <c r="BC193" s="3">
        <v>0</v>
      </c>
      <c r="BD193" s="3">
        <v>0</v>
      </c>
      <c r="BE193" s="3">
        <v>152</v>
      </c>
      <c r="BF193" s="3">
        <v>0</v>
      </c>
      <c r="BG193" s="3">
        <v>0</v>
      </c>
      <c r="BH193" s="3">
        <v>0</v>
      </c>
      <c r="BI193" s="3">
        <v>0</v>
      </c>
      <c r="BJ193" s="3">
        <v>21</v>
      </c>
      <c r="BK193" s="3">
        <v>0</v>
      </c>
      <c r="BL193" s="3">
        <v>30</v>
      </c>
      <c r="BM193" s="3">
        <v>0</v>
      </c>
      <c r="BN193" s="3">
        <f t="shared" si="16"/>
        <v>57.491262135922327</v>
      </c>
      <c r="BO193">
        <v>1169</v>
      </c>
      <c r="BP193" s="3">
        <v>7</v>
      </c>
      <c r="BQ193" s="1">
        <f t="shared" si="10"/>
        <v>5.9880239520958087E-3</v>
      </c>
      <c r="BR193" s="6">
        <v>0.17699999999999999</v>
      </c>
      <c r="BS193" s="6">
        <v>3.7999999999999999E-2</v>
      </c>
      <c r="BT193" s="6">
        <v>1.6E-2</v>
      </c>
      <c r="BU193" s="6">
        <v>8.5000000000000006E-2</v>
      </c>
      <c r="BV193" s="6">
        <v>3.5999999999999997E-2</v>
      </c>
      <c r="BW193" s="6"/>
      <c r="BX193" s="3">
        <v>0</v>
      </c>
      <c r="BY193" s="3">
        <v>0</v>
      </c>
      <c r="BZ193" s="3">
        <v>1145</v>
      </c>
      <c r="CA193" s="3">
        <v>103</v>
      </c>
      <c r="CB193" s="3">
        <v>0</v>
      </c>
      <c r="CC193" s="3">
        <v>1176</v>
      </c>
      <c r="CD193" s="3">
        <v>0</v>
      </c>
      <c r="CE193" s="4">
        <f t="shared" si="11"/>
        <v>10.346387641618094</v>
      </c>
      <c r="CF193" s="4">
        <f t="shared" si="7"/>
        <v>0.89916925030753991</v>
      </c>
      <c r="CG193" s="14">
        <f t="shared" si="8"/>
        <v>4835.5088428659319</v>
      </c>
      <c r="CH193" s="6">
        <f t="shared" si="9"/>
        <v>0.10998407807385167</v>
      </c>
      <c r="CJ193" s="6"/>
    </row>
    <row r="194" spans="1:88">
      <c r="A194" t="s">
        <v>208</v>
      </c>
      <c r="B194" t="s">
        <v>201</v>
      </c>
      <c r="C194" s="5">
        <v>0.98783410138248995</v>
      </c>
      <c r="D194" s="15">
        <v>0.06</v>
      </c>
      <c r="E194">
        <v>789</v>
      </c>
      <c r="F194" s="3">
        <f t="shared" si="6"/>
        <v>357.88480554471977</v>
      </c>
      <c r="G194">
        <v>0</v>
      </c>
      <c r="H194">
        <v>0</v>
      </c>
      <c r="I194">
        <v>0</v>
      </c>
      <c r="J194">
        <v>1</v>
      </c>
      <c r="K194">
        <v>0</v>
      </c>
      <c r="L194">
        <v>0</v>
      </c>
      <c r="M194">
        <v>0</v>
      </c>
      <c r="N194">
        <v>1</v>
      </c>
      <c r="O194">
        <v>0</v>
      </c>
      <c r="P194">
        <v>0</v>
      </c>
      <c r="Q194">
        <v>0</v>
      </c>
      <c r="R194" s="3">
        <f t="shared" si="12"/>
        <v>699.5</v>
      </c>
      <c r="S194" s="3">
        <f t="shared" si="13"/>
        <v>734.5</v>
      </c>
      <c r="T194">
        <v>72982198</v>
      </c>
      <c r="U194" s="6">
        <v>6.6000000000000003E-2</v>
      </c>
      <c r="V194" s="80">
        <v>2.0899999999999998E-3</v>
      </c>
      <c r="W194" s="11">
        <v>0.05</v>
      </c>
      <c r="X194" s="6">
        <f t="shared" si="15"/>
        <v>3.1806999999999999</v>
      </c>
      <c r="Y194">
        <v>9.1</v>
      </c>
      <c r="Z194" s="5">
        <v>4.25</v>
      </c>
      <c r="AA194" s="3">
        <v>144669</v>
      </c>
      <c r="AB194" s="14">
        <v>3400</v>
      </c>
      <c r="AC194" s="14">
        <v>52010</v>
      </c>
      <c r="AD194" s="3">
        <v>38390</v>
      </c>
      <c r="AE194" s="5">
        <v>1.277602523659306</v>
      </c>
      <c r="AF194" s="14">
        <v>62220</v>
      </c>
      <c r="AG194">
        <v>280</v>
      </c>
      <c r="AH194" s="10">
        <v>55722.07547169811</v>
      </c>
      <c r="AI194" s="8">
        <v>0</v>
      </c>
      <c r="AJ194" s="10">
        <v>58811.165048543691</v>
      </c>
      <c r="AK194" s="8">
        <v>0</v>
      </c>
      <c r="AL194" s="14">
        <v>42780</v>
      </c>
      <c r="AM194">
        <v>9100</v>
      </c>
      <c r="AN194" s="8"/>
      <c r="AO194" s="3">
        <v>0</v>
      </c>
      <c r="AP194" s="3">
        <v>0</v>
      </c>
      <c r="AQ194" s="3">
        <v>0</v>
      </c>
      <c r="AR194" s="3">
        <v>0</v>
      </c>
      <c r="AS194" s="3">
        <v>0</v>
      </c>
      <c r="AT194" s="3">
        <v>0</v>
      </c>
      <c r="AU194" s="3">
        <v>0</v>
      </c>
      <c r="AV194" s="3">
        <v>218</v>
      </c>
      <c r="AW194" s="3">
        <v>0</v>
      </c>
      <c r="AX194" s="3">
        <v>0</v>
      </c>
      <c r="AY194" s="3">
        <v>0</v>
      </c>
      <c r="AZ194" s="3">
        <v>0</v>
      </c>
      <c r="BA194" s="3">
        <v>0</v>
      </c>
      <c r="BB194" s="3">
        <v>0</v>
      </c>
      <c r="BC194" s="3">
        <v>0</v>
      </c>
      <c r="BD194" s="3">
        <v>0</v>
      </c>
      <c r="BE194" s="3">
        <v>289</v>
      </c>
      <c r="BF194" s="3">
        <v>0</v>
      </c>
      <c r="BG194" s="3">
        <v>0</v>
      </c>
      <c r="BH194" s="3">
        <v>0</v>
      </c>
      <c r="BI194" s="3">
        <v>0</v>
      </c>
      <c r="BJ194" s="3">
        <v>0</v>
      </c>
      <c r="BK194" s="3">
        <v>0</v>
      </c>
      <c r="BL194" s="3">
        <v>0</v>
      </c>
      <c r="BM194" s="3">
        <v>0</v>
      </c>
      <c r="BN194" s="3">
        <f t="shared" si="16"/>
        <v>57.313017751479286</v>
      </c>
      <c r="BO194">
        <v>782</v>
      </c>
      <c r="BP194" s="3">
        <v>9</v>
      </c>
      <c r="BQ194" s="1">
        <f t="shared" si="10"/>
        <v>1.1508951406649617E-2</v>
      </c>
      <c r="BR194" s="6">
        <v>0.17699999999999999</v>
      </c>
      <c r="BS194" s="6">
        <v>3.7999999999999999E-2</v>
      </c>
      <c r="BT194" s="6">
        <v>1.6E-2</v>
      </c>
      <c r="BU194" s="6">
        <v>8.5000000000000006E-2</v>
      </c>
      <c r="BV194" s="6">
        <v>3.5999999999999997E-2</v>
      </c>
      <c r="BW194" s="6"/>
      <c r="BX194" s="3">
        <v>706</v>
      </c>
      <c r="BY194" s="3">
        <v>721</v>
      </c>
      <c r="BZ194" s="3">
        <v>0</v>
      </c>
      <c r="CA194" s="3">
        <v>608</v>
      </c>
      <c r="CB194" s="3">
        <v>721</v>
      </c>
      <c r="CC194" s="3">
        <v>395</v>
      </c>
      <c r="CD194" s="3">
        <v>1521</v>
      </c>
      <c r="CE194" s="4">
        <f t="shared" si="11"/>
        <v>11.450199833348037</v>
      </c>
      <c r="CF194" s="4">
        <f t="shared" si="7"/>
        <v>0.64140591510423439</v>
      </c>
      <c r="CG194" s="14">
        <f t="shared" si="8"/>
        <v>4283.1906054498895</v>
      </c>
      <c r="CH194" s="6">
        <f t="shared" si="9"/>
        <v>0.14821945337197784</v>
      </c>
      <c r="CJ194" s="6"/>
    </row>
    <row r="195" spans="1:88">
      <c r="A195" t="s">
        <v>327</v>
      </c>
      <c r="B195" t="s">
        <v>313</v>
      </c>
      <c r="C195" s="5">
        <v>0.91100000000000092</v>
      </c>
      <c r="D195" s="15">
        <v>6.5000000000000002E-2</v>
      </c>
      <c r="E195">
        <v>845</v>
      </c>
      <c r="F195" s="3">
        <f t="shared" si="6"/>
        <v>383.2860084731156</v>
      </c>
      <c r="G195">
        <v>0</v>
      </c>
      <c r="H195">
        <v>0</v>
      </c>
      <c r="I195">
        <v>0</v>
      </c>
      <c r="J195">
        <v>0</v>
      </c>
      <c r="K195">
        <v>0</v>
      </c>
      <c r="L195">
        <v>0</v>
      </c>
      <c r="M195">
        <v>0</v>
      </c>
      <c r="N195">
        <v>1</v>
      </c>
      <c r="O195">
        <v>0</v>
      </c>
      <c r="P195">
        <v>0</v>
      </c>
      <c r="Q195">
        <v>0</v>
      </c>
      <c r="R195" s="3">
        <f t="shared" si="12"/>
        <v>672</v>
      </c>
      <c r="S195" s="3">
        <f t="shared" si="13"/>
        <v>703</v>
      </c>
      <c r="T195">
        <v>62197529</v>
      </c>
      <c r="U195" s="6">
        <v>7.3499999999999996E-2</v>
      </c>
      <c r="V195" s="80">
        <v>2.0899999999999998E-3</v>
      </c>
      <c r="W195" s="11">
        <v>0.05</v>
      </c>
      <c r="X195" s="6">
        <f t="shared" si="15"/>
        <v>3.0587999999999997</v>
      </c>
      <c r="Y195">
        <v>12.9</v>
      </c>
      <c r="Z195" s="5">
        <v>4.75</v>
      </c>
      <c r="AA195" s="3">
        <v>211754</v>
      </c>
      <c r="AB195" s="14">
        <v>2150</v>
      </c>
      <c r="AC195" s="14">
        <v>51670</v>
      </c>
      <c r="AD195" s="3">
        <v>22970</v>
      </c>
      <c r="AE195" s="5">
        <v>1.277602523659306</v>
      </c>
      <c r="AF195" s="14">
        <v>59050</v>
      </c>
      <c r="AG195">
        <v>460</v>
      </c>
      <c r="AH195" s="10">
        <v>60536.415094339623</v>
      </c>
      <c r="AI195" s="8">
        <v>0</v>
      </c>
      <c r="AJ195" s="14">
        <v>51760</v>
      </c>
      <c r="AK195">
        <v>70</v>
      </c>
      <c r="AL195" s="14">
        <v>44110</v>
      </c>
      <c r="AM195">
        <v>7760</v>
      </c>
      <c r="AO195" s="3">
        <v>0</v>
      </c>
      <c r="AP195" s="3">
        <v>0</v>
      </c>
      <c r="AQ195" s="3">
        <v>0</v>
      </c>
      <c r="AR195" s="3">
        <v>0</v>
      </c>
      <c r="AS195" s="3">
        <v>0</v>
      </c>
      <c r="AT195" s="3">
        <v>0</v>
      </c>
      <c r="AU195" s="3">
        <v>0</v>
      </c>
      <c r="AV195" s="3">
        <v>236</v>
      </c>
      <c r="AW195" s="3">
        <v>0</v>
      </c>
      <c r="AX195" s="3">
        <v>0</v>
      </c>
      <c r="AY195" s="3">
        <v>0</v>
      </c>
      <c r="AZ195" s="3">
        <v>0</v>
      </c>
      <c r="BA195" s="3">
        <v>424</v>
      </c>
      <c r="BB195" s="3">
        <v>0</v>
      </c>
      <c r="BC195" s="3">
        <v>0</v>
      </c>
      <c r="BD195" s="3">
        <v>0</v>
      </c>
      <c r="BE195" s="3">
        <v>0</v>
      </c>
      <c r="BF195" s="3">
        <v>0</v>
      </c>
      <c r="BG195" s="3">
        <v>0</v>
      </c>
      <c r="BH195" s="3">
        <v>0</v>
      </c>
      <c r="BI195" s="3">
        <v>0</v>
      </c>
      <c r="BJ195" s="3">
        <v>0</v>
      </c>
      <c r="BK195" s="3">
        <v>0</v>
      </c>
      <c r="BL195" s="3">
        <v>0</v>
      </c>
      <c r="BM195" s="3">
        <v>0</v>
      </c>
      <c r="BN195" s="3">
        <f t="shared" si="16"/>
        <v>56.8</v>
      </c>
      <c r="BO195">
        <v>874</v>
      </c>
      <c r="BP195" s="3">
        <v>5</v>
      </c>
      <c r="BQ195" s="1">
        <f t="shared" si="10"/>
        <v>5.7208237986270021E-3</v>
      </c>
      <c r="BR195" s="6">
        <v>0.17699999999999999</v>
      </c>
      <c r="BS195" s="6">
        <v>3.7999999999999999E-2</v>
      </c>
      <c r="BT195" s="6">
        <v>1.6E-2</v>
      </c>
      <c r="BU195" s="6">
        <v>8.5000000000000006E-2</v>
      </c>
      <c r="BV195" s="6">
        <v>3.5999999999999997E-2</v>
      </c>
      <c r="BW195" s="6"/>
      <c r="BX195" s="3">
        <v>1632</v>
      </c>
      <c r="BY195" s="3">
        <v>21</v>
      </c>
      <c r="BZ195" s="3">
        <v>0</v>
      </c>
      <c r="CA195" s="3">
        <v>0</v>
      </c>
      <c r="CB195" s="3">
        <v>21</v>
      </c>
      <c r="CC195" s="3">
        <v>3</v>
      </c>
      <c r="CD195" s="3">
        <v>2172</v>
      </c>
      <c r="CE195" s="4">
        <f t="shared" si="11"/>
        <v>11.622890270522365</v>
      </c>
      <c r="CF195" s="4">
        <f t="shared" si="7"/>
        <v>0.57758575421151326</v>
      </c>
      <c r="CG195" s="14">
        <f t="shared" si="8"/>
        <v>4995.1691511115059</v>
      </c>
      <c r="CH195" s="6">
        <f t="shared" si="9"/>
        <v>0.20584590623768831</v>
      </c>
      <c r="CJ195" s="6"/>
    </row>
    <row r="196" spans="1:88">
      <c r="A196" t="s">
        <v>328</v>
      </c>
      <c r="B196" t="s">
        <v>201</v>
      </c>
      <c r="C196" s="5">
        <v>0.91385204081632732</v>
      </c>
      <c r="D196" s="15">
        <v>0.06</v>
      </c>
      <c r="E196">
        <v>1750</v>
      </c>
      <c r="F196" s="3">
        <f t="shared" si="6"/>
        <v>793.78759151236954</v>
      </c>
      <c r="G196">
        <v>0</v>
      </c>
      <c r="H196">
        <v>0</v>
      </c>
      <c r="I196">
        <v>0</v>
      </c>
      <c r="J196">
        <v>1</v>
      </c>
      <c r="K196">
        <v>0</v>
      </c>
      <c r="L196">
        <v>0</v>
      </c>
      <c r="M196">
        <v>1</v>
      </c>
      <c r="N196">
        <v>0</v>
      </c>
      <c r="O196">
        <v>1</v>
      </c>
      <c r="P196">
        <v>0</v>
      </c>
      <c r="Q196">
        <v>0</v>
      </c>
      <c r="R196" s="3">
        <f t="shared" si="12"/>
        <v>599</v>
      </c>
      <c r="S196" s="3">
        <f t="shared" si="13"/>
        <v>642.33333333333337</v>
      </c>
      <c r="T196">
        <v>69147329</v>
      </c>
      <c r="U196" s="6">
        <v>5.57E-2</v>
      </c>
      <c r="V196" s="80">
        <v>3.0800000000000003E-3</v>
      </c>
      <c r="W196" s="11">
        <v>0.04</v>
      </c>
      <c r="X196" s="6">
        <f t="shared" si="15"/>
        <v>3.1806999999999999</v>
      </c>
      <c r="Y196">
        <v>13.7</v>
      </c>
      <c r="Z196" s="5">
        <v>4.5</v>
      </c>
      <c r="AA196" s="3">
        <v>102269</v>
      </c>
      <c r="AB196" s="14">
        <v>3400</v>
      </c>
      <c r="AC196" s="14">
        <v>52910</v>
      </c>
      <c r="AD196" s="3">
        <v>28210</v>
      </c>
      <c r="AE196" s="5">
        <v>1.3194221508828252</v>
      </c>
      <c r="AF196" s="14">
        <v>53500</v>
      </c>
      <c r="AG196">
        <v>620</v>
      </c>
      <c r="AH196" s="14">
        <v>47610</v>
      </c>
      <c r="AI196">
        <v>150</v>
      </c>
      <c r="AJ196" s="14">
        <v>39440</v>
      </c>
      <c r="AK196">
        <v>80</v>
      </c>
      <c r="AL196" s="14">
        <v>45770</v>
      </c>
      <c r="AM196">
        <v>13240</v>
      </c>
      <c r="AO196" s="3">
        <v>0</v>
      </c>
      <c r="AP196" s="3">
        <v>0</v>
      </c>
      <c r="AQ196" s="3">
        <v>0</v>
      </c>
      <c r="AR196" s="3">
        <v>0</v>
      </c>
      <c r="AS196" s="3">
        <v>93</v>
      </c>
      <c r="AT196" s="3">
        <v>0</v>
      </c>
      <c r="AU196" s="3">
        <v>0</v>
      </c>
      <c r="AV196" s="3">
        <v>0</v>
      </c>
      <c r="AW196" s="3">
        <v>0</v>
      </c>
      <c r="AX196" s="3">
        <v>0</v>
      </c>
      <c r="AY196" s="3">
        <v>0</v>
      </c>
      <c r="AZ196" s="3">
        <v>137</v>
      </c>
      <c r="BA196" s="3">
        <v>0</v>
      </c>
      <c r="BB196" s="3">
        <v>192</v>
      </c>
      <c r="BC196" s="3">
        <v>0</v>
      </c>
      <c r="BD196" s="3">
        <v>0</v>
      </c>
      <c r="BE196" s="3">
        <v>0</v>
      </c>
      <c r="BF196" s="3">
        <v>0</v>
      </c>
      <c r="BG196" s="3">
        <v>0</v>
      </c>
      <c r="BH196" s="3">
        <v>0</v>
      </c>
      <c r="BI196" s="3">
        <v>0</v>
      </c>
      <c r="BJ196" s="3">
        <v>0</v>
      </c>
      <c r="BK196" s="3">
        <v>0</v>
      </c>
      <c r="BL196" s="3">
        <v>0</v>
      </c>
      <c r="BM196" s="3">
        <v>0</v>
      </c>
      <c r="BN196" s="3">
        <f t="shared" si="16"/>
        <v>57.199763033175365</v>
      </c>
      <c r="BO196">
        <v>762</v>
      </c>
      <c r="BP196" s="3">
        <v>9</v>
      </c>
      <c r="BQ196" s="1">
        <f t="shared" si="10"/>
        <v>1.1811023622047244E-2</v>
      </c>
      <c r="BR196" s="6">
        <v>0.17399999999999999</v>
      </c>
      <c r="BS196" s="6">
        <v>4.2999999999999997E-2</v>
      </c>
      <c r="BT196" s="6">
        <v>1.7000000000000001E-2</v>
      </c>
      <c r="BU196" s="6">
        <v>9.4E-2</v>
      </c>
      <c r="BV196" s="6">
        <v>2.8000000000000001E-2</v>
      </c>
      <c r="BW196" s="6"/>
      <c r="BX196" s="3">
        <v>99</v>
      </c>
      <c r="BY196" s="3">
        <v>0</v>
      </c>
      <c r="BZ196" s="3">
        <v>1685</v>
      </c>
      <c r="CA196" s="3">
        <v>98</v>
      </c>
      <c r="CB196" s="3">
        <v>0</v>
      </c>
      <c r="CC196" s="3">
        <v>429</v>
      </c>
      <c r="CD196" s="3">
        <v>12</v>
      </c>
      <c r="CE196" s="4">
        <f t="shared" si="11"/>
        <v>10.755348096058578</v>
      </c>
      <c r="CF196" s="4">
        <f t="shared" si="7"/>
        <v>0.87732672716706583</v>
      </c>
      <c r="CG196" s="14">
        <f t="shared" si="8"/>
        <v>4941.3711712359964</v>
      </c>
      <c r="CH196" s="6">
        <f t="shared" si="9"/>
        <v>0.12052945405909267</v>
      </c>
      <c r="CJ196" s="6"/>
    </row>
    <row r="197" spans="1:88">
      <c r="A197" t="s">
        <v>203</v>
      </c>
      <c r="B197" t="s">
        <v>313</v>
      </c>
      <c r="C197" s="5">
        <v>0.88749034749034439</v>
      </c>
      <c r="D197" s="15">
        <v>4.4499999999999998E-2</v>
      </c>
      <c r="E197">
        <v>1006</v>
      </c>
      <c r="F197" s="3">
        <f t="shared" si="6"/>
        <v>456.31446689225356</v>
      </c>
      <c r="G197">
        <v>0</v>
      </c>
      <c r="H197">
        <v>0</v>
      </c>
      <c r="I197">
        <v>0</v>
      </c>
      <c r="J197">
        <v>1</v>
      </c>
      <c r="K197">
        <v>0</v>
      </c>
      <c r="L197">
        <v>0</v>
      </c>
      <c r="M197">
        <v>0</v>
      </c>
      <c r="N197">
        <v>1</v>
      </c>
      <c r="O197">
        <v>0</v>
      </c>
      <c r="P197">
        <v>0</v>
      </c>
      <c r="Q197">
        <v>0</v>
      </c>
      <c r="R197" s="3">
        <f t="shared" si="12"/>
        <v>699.5</v>
      </c>
      <c r="S197" s="3">
        <f t="shared" si="13"/>
        <v>734.5</v>
      </c>
      <c r="T197">
        <v>105504849</v>
      </c>
      <c r="U197" s="6">
        <v>5.2300000000000006E-2</v>
      </c>
      <c r="V197" s="80">
        <v>3.7000000000000002E-3</v>
      </c>
      <c r="W197" s="11">
        <v>3.4000000000000002E-2</v>
      </c>
      <c r="X197" s="6">
        <f t="shared" si="15"/>
        <v>3.0587999999999997</v>
      </c>
      <c r="Y197">
        <v>19.7</v>
      </c>
      <c r="Z197" s="5">
        <v>5</v>
      </c>
      <c r="AA197" s="3">
        <v>111898</v>
      </c>
      <c r="AB197" s="14">
        <v>3190</v>
      </c>
      <c r="AC197" s="14">
        <v>48170</v>
      </c>
      <c r="AD197" s="3">
        <v>23650</v>
      </c>
      <c r="AE197" s="5">
        <v>1.3194221508828252</v>
      </c>
      <c r="AF197" s="14">
        <v>61710</v>
      </c>
      <c r="AG197">
        <v>1810</v>
      </c>
      <c r="AH197" s="10">
        <v>60536.415094339623</v>
      </c>
      <c r="AI197" s="8">
        <v>0</v>
      </c>
      <c r="AJ197" s="14">
        <v>54950</v>
      </c>
      <c r="AK197">
        <v>1090</v>
      </c>
      <c r="AL197" s="14">
        <v>42780</v>
      </c>
      <c r="AM197">
        <v>7540</v>
      </c>
      <c r="AO197" s="3">
        <v>0</v>
      </c>
      <c r="AP197" s="3">
        <v>274</v>
      </c>
      <c r="AQ197" s="3">
        <v>0</v>
      </c>
      <c r="AR197" s="3">
        <v>190</v>
      </c>
      <c r="AS197" s="3">
        <v>0</v>
      </c>
      <c r="AT197" s="3">
        <v>0</v>
      </c>
      <c r="AU197" s="3">
        <v>0</v>
      </c>
      <c r="AV197" s="3">
        <v>0</v>
      </c>
      <c r="AW197" s="3">
        <v>0</v>
      </c>
      <c r="AX197" s="3">
        <v>0</v>
      </c>
      <c r="AY197" s="3">
        <v>66</v>
      </c>
      <c r="AZ197" s="3">
        <v>0</v>
      </c>
      <c r="BA197" s="3">
        <v>0</v>
      </c>
      <c r="BB197" s="3">
        <v>0</v>
      </c>
      <c r="BC197" s="3">
        <v>0</v>
      </c>
      <c r="BD197" s="3">
        <v>0</v>
      </c>
      <c r="BE197" s="3">
        <v>0</v>
      </c>
      <c r="BF197" s="3">
        <v>0</v>
      </c>
      <c r="BG197" s="3">
        <v>0</v>
      </c>
      <c r="BH197" s="3">
        <v>0</v>
      </c>
      <c r="BI197" s="3">
        <v>0</v>
      </c>
      <c r="BJ197" s="3">
        <v>0</v>
      </c>
      <c r="BK197" s="3">
        <v>0</v>
      </c>
      <c r="BL197" s="3">
        <v>0</v>
      </c>
      <c r="BM197" s="3">
        <v>0</v>
      </c>
      <c r="BN197" s="3">
        <f t="shared" si="16"/>
        <v>57.995471698113207</v>
      </c>
      <c r="BO197">
        <v>904</v>
      </c>
      <c r="BP197" s="3">
        <v>8</v>
      </c>
      <c r="BQ197" s="1">
        <f t="shared" si="10"/>
        <v>8.8495575221238937E-3</v>
      </c>
      <c r="BR197" s="6">
        <v>0.17399999999999999</v>
      </c>
      <c r="BS197" s="6">
        <v>4.2999999999999997E-2</v>
      </c>
      <c r="BT197" s="6">
        <v>1.7000000000000001E-2</v>
      </c>
      <c r="BU197" s="6">
        <v>9.4E-2</v>
      </c>
      <c r="BV197" s="6">
        <v>2.8000000000000001E-2</v>
      </c>
      <c r="BW197" s="6"/>
      <c r="BX197" s="3">
        <v>362</v>
      </c>
      <c r="BY197" s="3">
        <v>744</v>
      </c>
      <c r="BZ197" s="3">
        <v>43</v>
      </c>
      <c r="CA197" s="3">
        <v>239</v>
      </c>
      <c r="CB197" s="3">
        <v>744</v>
      </c>
      <c r="CC197" s="3">
        <v>76</v>
      </c>
      <c r="CD197" s="3">
        <v>1143</v>
      </c>
      <c r="CE197" s="4">
        <f t="shared" si="11"/>
        <v>11.664867063731426</v>
      </c>
      <c r="CF197" s="4">
        <f t="shared" si="7"/>
        <v>0.63322715230276361</v>
      </c>
      <c r="CG197" s="14">
        <f t="shared" si="8"/>
        <v>4354.3343702056627</v>
      </c>
      <c r="CH197" s="6">
        <f t="shared" si="9"/>
        <v>0.14920752432701959</v>
      </c>
      <c r="CJ197" s="6"/>
    </row>
    <row r="198" spans="1:88">
      <c r="A198" t="s">
        <v>329</v>
      </c>
      <c r="B198" t="s">
        <v>312</v>
      </c>
      <c r="C198" s="5">
        <v>1.0765116279069789</v>
      </c>
      <c r="D198" s="15">
        <v>5.5E-2</v>
      </c>
      <c r="E198">
        <v>481</v>
      </c>
      <c r="F198" s="3">
        <f t="shared" si="6"/>
        <v>218.17818943854272</v>
      </c>
      <c r="G198">
        <v>0</v>
      </c>
      <c r="H198">
        <v>0</v>
      </c>
      <c r="I198">
        <v>1</v>
      </c>
      <c r="J198">
        <v>0</v>
      </c>
      <c r="K198">
        <v>0</v>
      </c>
      <c r="L198">
        <v>0</v>
      </c>
      <c r="M198">
        <v>0</v>
      </c>
      <c r="N198">
        <v>0</v>
      </c>
      <c r="O198">
        <v>0</v>
      </c>
      <c r="P198">
        <v>0</v>
      </c>
      <c r="Q198">
        <v>0</v>
      </c>
      <c r="R198" s="3">
        <f t="shared" si="12"/>
        <v>376</v>
      </c>
      <c r="S198" s="3">
        <f t="shared" si="13"/>
        <v>400</v>
      </c>
      <c r="T198">
        <v>12763920</v>
      </c>
      <c r="U198" s="6">
        <v>9.2200000000000004E-2</v>
      </c>
      <c r="V198" s="80">
        <v>2.82E-3</v>
      </c>
      <c r="W198" s="11">
        <v>8.5999999999999993E-2</v>
      </c>
      <c r="X198" s="6">
        <f t="shared" si="15"/>
        <v>3.2866</v>
      </c>
      <c r="Y198">
        <v>5.8</v>
      </c>
      <c r="Z198" s="5">
        <v>4</v>
      </c>
      <c r="AA198" s="3">
        <v>79883</v>
      </c>
      <c r="AB198" s="14">
        <v>8290</v>
      </c>
      <c r="AC198" s="14">
        <v>48380</v>
      </c>
      <c r="AD198" s="3">
        <v>9910</v>
      </c>
      <c r="AE198" s="5">
        <v>1.2645259938837918</v>
      </c>
      <c r="AF198" s="14">
        <v>55440</v>
      </c>
      <c r="AG198">
        <v>330</v>
      </c>
      <c r="AH198" s="10">
        <v>55982.7</v>
      </c>
      <c r="AI198" s="8">
        <v>0</v>
      </c>
      <c r="AJ198" s="14">
        <v>50230</v>
      </c>
      <c r="AK198">
        <v>80</v>
      </c>
      <c r="AL198" s="14">
        <v>44510</v>
      </c>
      <c r="AM198">
        <v>2490</v>
      </c>
      <c r="AO198" s="3">
        <v>0</v>
      </c>
      <c r="AP198" s="3">
        <v>0</v>
      </c>
      <c r="AQ198" s="3">
        <v>0</v>
      </c>
      <c r="AR198" s="3">
        <v>0</v>
      </c>
      <c r="AS198" s="3">
        <v>0</v>
      </c>
      <c r="AT198" s="3">
        <v>0</v>
      </c>
      <c r="AU198" s="3">
        <v>0</v>
      </c>
      <c r="AV198" s="3">
        <v>0</v>
      </c>
      <c r="AW198" s="3">
        <v>0</v>
      </c>
      <c r="AX198" s="3">
        <v>0</v>
      </c>
      <c r="AY198" s="3">
        <v>0</v>
      </c>
      <c r="AZ198" s="3">
        <v>0</v>
      </c>
      <c r="BA198" s="3">
        <v>0</v>
      </c>
      <c r="BB198" s="3">
        <v>0</v>
      </c>
      <c r="BC198" s="3">
        <v>0</v>
      </c>
      <c r="BD198" s="3">
        <v>0</v>
      </c>
      <c r="BE198" s="3">
        <v>0</v>
      </c>
      <c r="BF198" s="3">
        <v>0</v>
      </c>
      <c r="BG198" s="3">
        <v>0</v>
      </c>
      <c r="BH198" s="3">
        <v>0</v>
      </c>
      <c r="BI198" s="3">
        <v>0</v>
      </c>
      <c r="BJ198" s="3">
        <v>0</v>
      </c>
      <c r="BK198" s="3">
        <v>0</v>
      </c>
      <c r="BL198" s="3">
        <v>0</v>
      </c>
      <c r="BM198" s="3">
        <v>303</v>
      </c>
      <c r="BN198" s="3">
        <f t="shared" si="16"/>
        <v>56.20000000000001</v>
      </c>
      <c r="BO198">
        <v>367</v>
      </c>
      <c r="BP198" s="3">
        <v>3</v>
      </c>
      <c r="BQ198" s="1">
        <f t="shared" si="10"/>
        <v>8.1743869209809257E-3</v>
      </c>
      <c r="BR198" s="6">
        <v>0.17499999999999999</v>
      </c>
      <c r="BS198" s="6">
        <v>0.04</v>
      </c>
      <c r="BT198" s="6">
        <v>1.7999999999999999E-2</v>
      </c>
      <c r="BU198" s="6">
        <v>8.4000000000000005E-2</v>
      </c>
      <c r="BV198" s="6">
        <v>4.8000000000000001E-2</v>
      </c>
      <c r="BW198" s="6"/>
      <c r="BX198" s="3">
        <v>0</v>
      </c>
      <c r="BY198" s="3">
        <v>205</v>
      </c>
      <c r="BZ198" s="3">
        <v>557</v>
      </c>
      <c r="CA198" s="3">
        <v>0</v>
      </c>
      <c r="CB198" s="3">
        <v>205</v>
      </c>
      <c r="CC198" s="3">
        <v>0</v>
      </c>
      <c r="CD198" s="3">
        <v>0</v>
      </c>
      <c r="CE198" s="4">
        <f t="shared" si="11"/>
        <v>11.415570152295984</v>
      </c>
      <c r="CF198" s="4">
        <f t="shared" si="7"/>
        <v>0.80821354657506095</v>
      </c>
      <c r="CG198" s="14">
        <f t="shared" si="8"/>
        <v>4713.4662391921747</v>
      </c>
      <c r="CH198" s="6">
        <f t="shared" si="9"/>
        <v>0.11177032057678424</v>
      </c>
      <c r="CJ198" s="6"/>
    </row>
    <row r="199" spans="1:88">
      <c r="A199" t="s">
        <v>330</v>
      </c>
      <c r="B199" t="s">
        <v>312</v>
      </c>
      <c r="C199" s="5">
        <v>0.99459770114942603</v>
      </c>
      <c r="D199" s="15">
        <v>0.06</v>
      </c>
      <c r="E199">
        <v>666</v>
      </c>
      <c r="F199" s="3">
        <f t="shared" si="6"/>
        <v>302.09287768413606</v>
      </c>
      <c r="G199">
        <v>0</v>
      </c>
      <c r="H199">
        <v>0</v>
      </c>
      <c r="I199">
        <v>0</v>
      </c>
      <c r="J199">
        <v>0</v>
      </c>
      <c r="K199">
        <v>0</v>
      </c>
      <c r="L199">
        <v>0</v>
      </c>
      <c r="M199">
        <v>1</v>
      </c>
      <c r="N199">
        <v>0</v>
      </c>
      <c r="O199">
        <v>0</v>
      </c>
      <c r="P199">
        <v>0</v>
      </c>
      <c r="Q199">
        <v>0</v>
      </c>
      <c r="R199" s="3">
        <f t="shared" si="12"/>
        <v>522</v>
      </c>
      <c r="S199" s="3">
        <f t="shared" si="13"/>
        <v>578</v>
      </c>
      <c r="T199">
        <v>37139365</v>
      </c>
      <c r="U199" s="6">
        <v>7.8E-2</v>
      </c>
      <c r="V199" s="80">
        <v>3.0800000000000003E-3</v>
      </c>
      <c r="W199" s="11">
        <v>0.04</v>
      </c>
      <c r="X199" s="6">
        <f t="shared" si="15"/>
        <v>3.2866</v>
      </c>
      <c r="Y199">
        <v>13.3</v>
      </c>
      <c r="Z199" s="5">
        <v>4.25</v>
      </c>
      <c r="AA199" s="3">
        <v>25142</v>
      </c>
      <c r="AB199" s="14">
        <v>8290</v>
      </c>
      <c r="AC199" s="14">
        <v>55800</v>
      </c>
      <c r="AD199" s="3">
        <v>26150</v>
      </c>
      <c r="AE199" s="5">
        <v>1.2645259938837918</v>
      </c>
      <c r="AF199" s="14">
        <v>63580</v>
      </c>
      <c r="AG199">
        <v>390</v>
      </c>
      <c r="AH199" s="10">
        <v>55982.7</v>
      </c>
      <c r="AI199" s="8">
        <v>0</v>
      </c>
      <c r="AJ199" s="14">
        <v>47120</v>
      </c>
      <c r="AK199">
        <v>70</v>
      </c>
      <c r="AL199" s="14">
        <v>43620</v>
      </c>
      <c r="AM199">
        <v>11130</v>
      </c>
      <c r="AO199" s="3">
        <v>0</v>
      </c>
      <c r="AP199" s="3">
        <v>0</v>
      </c>
      <c r="AQ199" s="3">
        <v>0</v>
      </c>
      <c r="AR199" s="3">
        <v>0</v>
      </c>
      <c r="AS199" s="3">
        <v>0</v>
      </c>
      <c r="AT199" s="3">
        <v>0</v>
      </c>
      <c r="AU199" s="3">
        <v>0</v>
      </c>
      <c r="AV199" s="3">
        <v>0</v>
      </c>
      <c r="AW199" s="3">
        <v>0</v>
      </c>
      <c r="AX199" s="3">
        <v>0</v>
      </c>
      <c r="AY199" s="3">
        <v>0</v>
      </c>
      <c r="AZ199" s="3">
        <v>0</v>
      </c>
      <c r="BA199" s="3">
        <v>94</v>
      </c>
      <c r="BB199" s="3">
        <v>0</v>
      </c>
      <c r="BC199" s="3">
        <v>0</v>
      </c>
      <c r="BD199" s="3">
        <v>0</v>
      </c>
      <c r="BE199" s="3">
        <v>0</v>
      </c>
      <c r="BF199" s="3">
        <v>12</v>
      </c>
      <c r="BG199" s="3">
        <v>0</v>
      </c>
      <c r="BH199" s="3">
        <v>0</v>
      </c>
      <c r="BI199" s="3">
        <v>0</v>
      </c>
      <c r="BJ199" s="3">
        <v>0</v>
      </c>
      <c r="BK199" s="3">
        <v>0</v>
      </c>
      <c r="BL199" s="3">
        <v>0</v>
      </c>
      <c r="BM199" s="3">
        <v>110</v>
      </c>
      <c r="BN199" s="3">
        <f t="shared" si="16"/>
        <v>56.483333333333334</v>
      </c>
      <c r="BO199">
        <v>481</v>
      </c>
      <c r="BP199" s="3">
        <v>9</v>
      </c>
      <c r="BQ199" s="1">
        <f t="shared" si="10"/>
        <v>1.8711018711018712E-2</v>
      </c>
      <c r="BR199" s="6">
        <v>0.17499999999999999</v>
      </c>
      <c r="BS199" s="6">
        <v>0.04</v>
      </c>
      <c r="BT199" s="6">
        <v>1.7999999999999999E-2</v>
      </c>
      <c r="BU199" s="6">
        <v>8.4000000000000005E-2</v>
      </c>
      <c r="BV199" s="6">
        <v>4.8000000000000001E-2</v>
      </c>
      <c r="BW199" s="6"/>
      <c r="BX199" s="3">
        <v>0</v>
      </c>
      <c r="BY199" s="3">
        <v>0</v>
      </c>
      <c r="BZ199" s="3">
        <v>460</v>
      </c>
      <c r="CA199" s="3">
        <v>0</v>
      </c>
      <c r="CB199" s="3">
        <v>0</v>
      </c>
      <c r="CC199" s="3">
        <v>59</v>
      </c>
      <c r="CD199" s="3">
        <v>0</v>
      </c>
      <c r="CE199" s="4">
        <f t="shared" si="11"/>
        <v>10.819715059977327</v>
      </c>
      <c r="CF199" s="4">
        <f t="shared" si="7"/>
        <v>0.89996087659778345</v>
      </c>
      <c r="CG199" s="14">
        <f t="shared" si="8"/>
        <v>5103.8550284299245</v>
      </c>
      <c r="CH199" s="6">
        <f t="shared" si="9"/>
        <v>0.12298749677352988</v>
      </c>
      <c r="CJ199" s="6"/>
    </row>
    <row r="200" spans="1:88">
      <c r="A200" t="s">
        <v>331</v>
      </c>
      <c r="B200" t="s">
        <v>312</v>
      </c>
      <c r="C200" s="5">
        <v>1.1800000000000035</v>
      </c>
      <c r="D200" s="15">
        <v>6.25E-2</v>
      </c>
      <c r="E200">
        <v>952</v>
      </c>
      <c r="F200" s="3">
        <f t="shared" si="6"/>
        <v>431.82044978272904</v>
      </c>
      <c r="G200">
        <v>0</v>
      </c>
      <c r="H200">
        <v>0</v>
      </c>
      <c r="I200">
        <v>1</v>
      </c>
      <c r="J200">
        <v>0</v>
      </c>
      <c r="K200">
        <v>0</v>
      </c>
      <c r="L200">
        <v>0</v>
      </c>
      <c r="M200">
        <v>0</v>
      </c>
      <c r="N200">
        <v>0</v>
      </c>
      <c r="O200">
        <v>0</v>
      </c>
      <c r="P200">
        <v>0</v>
      </c>
      <c r="Q200">
        <v>0</v>
      </c>
      <c r="R200" s="3">
        <f t="shared" si="12"/>
        <v>376</v>
      </c>
      <c r="S200" s="3">
        <f t="shared" si="13"/>
        <v>400</v>
      </c>
      <c r="T200">
        <v>21026161</v>
      </c>
      <c r="U200" s="6">
        <v>0.14760000000000001</v>
      </c>
      <c r="V200" s="80">
        <v>2.82E-3</v>
      </c>
      <c r="W200" s="11">
        <v>8.5999999999999993E-2</v>
      </c>
      <c r="X200" s="6">
        <f t="shared" si="15"/>
        <v>3.2866</v>
      </c>
      <c r="Y200">
        <v>9.8000000000000007</v>
      </c>
      <c r="Z200" s="5">
        <v>4.25</v>
      </c>
      <c r="AA200" s="3">
        <v>20202</v>
      </c>
      <c r="AB200" s="14">
        <v>8290</v>
      </c>
      <c r="AC200" s="14">
        <v>56810</v>
      </c>
      <c r="AD200" s="3">
        <v>30430</v>
      </c>
      <c r="AE200" s="5">
        <v>1.2645259938837918</v>
      </c>
      <c r="AF200" s="14">
        <v>72600</v>
      </c>
      <c r="AG200">
        <v>410</v>
      </c>
      <c r="AH200" s="10">
        <v>55982.7</v>
      </c>
      <c r="AI200" s="8">
        <v>0</v>
      </c>
      <c r="AJ200" s="10">
        <v>50229.389671361503</v>
      </c>
      <c r="AK200" s="8">
        <v>0</v>
      </c>
      <c r="AL200" s="14">
        <v>45470</v>
      </c>
      <c r="AM200">
        <v>6380</v>
      </c>
      <c r="AN200" s="8"/>
      <c r="AO200" s="3">
        <v>0</v>
      </c>
      <c r="AP200" s="3">
        <v>0</v>
      </c>
      <c r="AQ200" s="3">
        <v>0</v>
      </c>
      <c r="AR200" s="3">
        <v>0</v>
      </c>
      <c r="AS200" s="3">
        <v>0</v>
      </c>
      <c r="AT200" s="3">
        <v>0</v>
      </c>
      <c r="AU200" s="3">
        <v>0</v>
      </c>
      <c r="AV200" s="3">
        <v>0</v>
      </c>
      <c r="AW200" s="3">
        <v>0</v>
      </c>
      <c r="AX200" s="3">
        <v>0</v>
      </c>
      <c r="AY200" s="3">
        <v>0</v>
      </c>
      <c r="AZ200" s="3">
        <v>0</v>
      </c>
      <c r="BA200" s="3">
        <v>0</v>
      </c>
      <c r="BB200" s="3">
        <v>0</v>
      </c>
      <c r="BC200" s="3">
        <v>0</v>
      </c>
      <c r="BD200" s="3">
        <v>0</v>
      </c>
      <c r="BE200" s="3">
        <v>0</v>
      </c>
      <c r="BF200" s="3">
        <v>0</v>
      </c>
      <c r="BG200" s="3">
        <v>0</v>
      </c>
      <c r="BH200" s="3">
        <v>0</v>
      </c>
      <c r="BI200" s="3">
        <v>0</v>
      </c>
      <c r="BJ200" s="3">
        <v>136</v>
      </c>
      <c r="BK200" s="3">
        <v>55</v>
      </c>
      <c r="BL200" s="3">
        <v>0</v>
      </c>
      <c r="BM200" s="3">
        <v>92</v>
      </c>
      <c r="BN200" s="3">
        <f t="shared" si="16"/>
        <v>56.088339222614842</v>
      </c>
      <c r="BO200">
        <v>566</v>
      </c>
      <c r="BP200" s="3">
        <v>9</v>
      </c>
      <c r="BQ200" s="1">
        <f t="shared" si="10"/>
        <v>1.5901060070671377E-2</v>
      </c>
      <c r="BR200" s="6">
        <v>0.17499999999999999</v>
      </c>
      <c r="BS200" s="6">
        <v>0.04</v>
      </c>
      <c r="BT200" s="6">
        <v>1.7999999999999999E-2</v>
      </c>
      <c r="BU200" s="6">
        <v>8.4000000000000005E-2</v>
      </c>
      <c r="BV200" s="6">
        <v>4.8000000000000001E-2</v>
      </c>
      <c r="BW200" s="6"/>
      <c r="BX200" s="3">
        <v>0</v>
      </c>
      <c r="BY200" s="3">
        <v>0</v>
      </c>
      <c r="BZ200" s="3">
        <v>507</v>
      </c>
      <c r="CA200" s="3">
        <v>0</v>
      </c>
      <c r="CB200" s="3">
        <v>0</v>
      </c>
      <c r="CC200" s="3">
        <v>0</v>
      </c>
      <c r="CD200" s="3">
        <v>0</v>
      </c>
      <c r="CE200" s="4">
        <f t="shared" si="11"/>
        <v>10.960643963033506</v>
      </c>
      <c r="CF200" s="4">
        <f t="shared" si="7"/>
        <v>0.89666325318342188</v>
      </c>
      <c r="CG200" s="14">
        <f t="shared" si="8"/>
        <v>5142.8171020473019</v>
      </c>
      <c r="CH200" s="6">
        <f t="shared" si="9"/>
        <v>0.12617110418812871</v>
      </c>
      <c r="CJ200" s="6"/>
    </row>
    <row r="201" spans="1:88">
      <c r="A201" t="s">
        <v>332</v>
      </c>
      <c r="B201" t="s">
        <v>201</v>
      </c>
      <c r="C201" s="5">
        <v>1.0209189189189156</v>
      </c>
      <c r="D201" s="15">
        <v>0.06</v>
      </c>
      <c r="E201">
        <v>1096</v>
      </c>
      <c r="F201" s="3">
        <f t="shared" si="6"/>
        <v>497.13782874146113</v>
      </c>
      <c r="G201">
        <v>0</v>
      </c>
      <c r="H201">
        <v>0</v>
      </c>
      <c r="I201">
        <v>0</v>
      </c>
      <c r="J201">
        <v>1</v>
      </c>
      <c r="K201">
        <v>0</v>
      </c>
      <c r="L201">
        <v>0</v>
      </c>
      <c r="M201">
        <v>1</v>
      </c>
      <c r="N201">
        <v>0</v>
      </c>
      <c r="O201">
        <v>0</v>
      </c>
      <c r="P201">
        <v>0</v>
      </c>
      <c r="Q201">
        <v>0</v>
      </c>
      <c r="R201" s="3">
        <f t="shared" si="12"/>
        <v>624.5</v>
      </c>
      <c r="S201" s="3">
        <f t="shared" si="13"/>
        <v>672</v>
      </c>
      <c r="T201">
        <v>117497052</v>
      </c>
      <c r="U201" s="6">
        <v>7.0699999999999999E-2</v>
      </c>
      <c r="V201" s="80">
        <v>3.0800000000000003E-3</v>
      </c>
      <c r="W201" s="11">
        <v>0.06</v>
      </c>
      <c r="X201" s="6">
        <f t="shared" si="15"/>
        <v>3.1806999999999999</v>
      </c>
      <c r="Y201">
        <v>7.5</v>
      </c>
      <c r="Z201" s="5">
        <v>4</v>
      </c>
      <c r="AA201" s="3">
        <v>146435</v>
      </c>
      <c r="AB201" s="14">
        <v>3100</v>
      </c>
      <c r="AC201" s="14">
        <v>52180</v>
      </c>
      <c r="AD201" s="3">
        <v>54280</v>
      </c>
      <c r="AE201" s="5">
        <v>1.277602523659306</v>
      </c>
      <c r="AF201" s="14">
        <v>63350</v>
      </c>
      <c r="AG201">
        <v>1160</v>
      </c>
      <c r="AH201" s="14">
        <v>89870</v>
      </c>
      <c r="AI201">
        <v>90</v>
      </c>
      <c r="AJ201" s="14">
        <v>67130</v>
      </c>
      <c r="AK201">
        <v>40</v>
      </c>
      <c r="AL201" s="14">
        <v>43720</v>
      </c>
      <c r="AM201">
        <v>24840</v>
      </c>
      <c r="AO201" s="3">
        <v>0</v>
      </c>
      <c r="AP201" s="3">
        <v>0</v>
      </c>
      <c r="AQ201" s="3">
        <v>0</v>
      </c>
      <c r="AR201" s="3">
        <v>0</v>
      </c>
      <c r="AS201" s="3">
        <v>0</v>
      </c>
      <c r="AT201" s="3">
        <v>0</v>
      </c>
      <c r="AU201" s="3">
        <v>0</v>
      </c>
      <c r="AV201" s="3">
        <v>0</v>
      </c>
      <c r="AW201" s="3">
        <v>0</v>
      </c>
      <c r="AX201" s="3">
        <v>0</v>
      </c>
      <c r="AY201" s="3">
        <v>0</v>
      </c>
      <c r="AZ201" s="3">
        <v>0</v>
      </c>
      <c r="BA201" s="3">
        <v>0</v>
      </c>
      <c r="BB201" s="3">
        <v>396</v>
      </c>
      <c r="BC201" s="3">
        <v>0</v>
      </c>
      <c r="BD201" s="3">
        <v>0</v>
      </c>
      <c r="BE201" s="3">
        <v>0</v>
      </c>
      <c r="BF201" s="3">
        <v>0</v>
      </c>
      <c r="BG201" s="3">
        <v>0</v>
      </c>
      <c r="BH201" s="3">
        <v>0</v>
      </c>
      <c r="BI201" s="3">
        <v>0</v>
      </c>
      <c r="BJ201" s="3">
        <v>0</v>
      </c>
      <c r="BK201" s="3">
        <v>0</v>
      </c>
      <c r="BL201" s="3">
        <v>275</v>
      </c>
      <c r="BM201" s="3">
        <v>0</v>
      </c>
      <c r="BN201" s="3">
        <f t="shared" si="16"/>
        <v>56.699999999999996</v>
      </c>
      <c r="BO201">
        <v>1241</v>
      </c>
      <c r="BP201" s="3">
        <v>9</v>
      </c>
      <c r="BQ201" s="1">
        <f t="shared" si="10"/>
        <v>7.2522159548751011E-3</v>
      </c>
      <c r="BR201" s="6">
        <v>0.17699999999999999</v>
      </c>
      <c r="BS201" s="6">
        <v>3.7999999999999999E-2</v>
      </c>
      <c r="BT201" s="6">
        <v>1.6E-2</v>
      </c>
      <c r="BU201" s="6">
        <v>8.5000000000000006E-2</v>
      </c>
      <c r="BV201" s="6">
        <v>3.5999999999999997E-2</v>
      </c>
      <c r="BW201" s="6"/>
      <c r="BX201" s="3">
        <v>0</v>
      </c>
      <c r="BY201" s="3">
        <v>1</v>
      </c>
      <c r="BZ201" s="3">
        <v>363</v>
      </c>
      <c r="CA201" s="3">
        <v>871</v>
      </c>
      <c r="CB201" s="3">
        <v>1</v>
      </c>
      <c r="CC201" s="3">
        <v>115</v>
      </c>
      <c r="CD201" s="3">
        <v>0</v>
      </c>
      <c r="CE201" s="4">
        <f t="shared" si="11"/>
        <v>10.662204732691555</v>
      </c>
      <c r="CF201" s="4">
        <f t="shared" si="7"/>
        <v>0.72332069202340943</v>
      </c>
      <c r="CG201" s="14">
        <f t="shared" si="8"/>
        <v>2972.34140673812</v>
      </c>
      <c r="CH201" s="6">
        <f t="shared" si="9"/>
        <v>8.4281337574200671E-2</v>
      </c>
      <c r="CJ201" s="6"/>
    </row>
    <row r="202" spans="1:88">
      <c r="A202" t="s">
        <v>333</v>
      </c>
      <c r="B202" t="s">
        <v>201</v>
      </c>
      <c r="C202" s="5">
        <v>1.1018495297805686</v>
      </c>
      <c r="D202" s="15">
        <v>6.8750000000000006E-2</v>
      </c>
      <c r="E202">
        <v>833</v>
      </c>
      <c r="F202" s="3">
        <f t="shared" si="6"/>
        <v>377.8428935598879</v>
      </c>
      <c r="G202">
        <v>0</v>
      </c>
      <c r="H202">
        <v>0</v>
      </c>
      <c r="I202">
        <v>0</v>
      </c>
      <c r="J202">
        <v>1</v>
      </c>
      <c r="K202">
        <v>0</v>
      </c>
      <c r="L202">
        <v>0</v>
      </c>
      <c r="M202">
        <v>0</v>
      </c>
      <c r="N202">
        <v>0</v>
      </c>
      <c r="O202">
        <v>0</v>
      </c>
      <c r="P202">
        <v>0</v>
      </c>
      <c r="Q202">
        <v>0</v>
      </c>
      <c r="R202" s="3">
        <f t="shared" si="12"/>
        <v>727</v>
      </c>
      <c r="S202" s="3">
        <f t="shared" si="13"/>
        <v>766</v>
      </c>
      <c r="T202">
        <v>58966891</v>
      </c>
      <c r="U202" s="6">
        <v>7.5300000000000006E-2</v>
      </c>
      <c r="V202" s="80">
        <v>2.0899999999999998E-3</v>
      </c>
      <c r="W202" s="11">
        <v>0.05</v>
      </c>
      <c r="X202" s="6">
        <f t="shared" si="15"/>
        <v>3.1806999999999999</v>
      </c>
      <c r="Y202">
        <v>5.4</v>
      </c>
      <c r="Z202" s="5">
        <v>4</v>
      </c>
      <c r="AA202" s="3">
        <v>206232</v>
      </c>
      <c r="AB202" s="14">
        <v>2100</v>
      </c>
      <c r="AC202" s="14">
        <v>57400</v>
      </c>
      <c r="AD202" s="3">
        <v>35590</v>
      </c>
      <c r="AE202" s="5">
        <v>1.277602523659306</v>
      </c>
      <c r="AF202" s="14">
        <v>74210</v>
      </c>
      <c r="AG202">
        <v>200</v>
      </c>
      <c r="AH202" s="10">
        <v>55722.07547169811</v>
      </c>
      <c r="AI202" s="8">
        <v>0</v>
      </c>
      <c r="AJ202" s="14">
        <v>55430</v>
      </c>
      <c r="AK202">
        <v>180</v>
      </c>
      <c r="AL202" s="14">
        <v>48000</v>
      </c>
      <c r="AM202">
        <v>7010</v>
      </c>
      <c r="AO202" s="3">
        <v>0</v>
      </c>
      <c r="AP202" s="3">
        <v>0</v>
      </c>
      <c r="AQ202" s="3">
        <v>0</v>
      </c>
      <c r="AR202" s="3">
        <v>0</v>
      </c>
      <c r="AS202" s="3">
        <v>0</v>
      </c>
      <c r="AT202" s="3">
        <v>0</v>
      </c>
      <c r="AU202" s="3">
        <v>0</v>
      </c>
      <c r="AV202" s="3">
        <v>220</v>
      </c>
      <c r="AW202" s="3">
        <v>0</v>
      </c>
      <c r="AX202" s="3">
        <v>0</v>
      </c>
      <c r="AY202" s="3">
        <v>0</v>
      </c>
      <c r="AZ202" s="3">
        <v>0</v>
      </c>
      <c r="BA202" s="3">
        <v>0</v>
      </c>
      <c r="BB202" s="3">
        <v>0</v>
      </c>
      <c r="BC202" s="3">
        <v>0</v>
      </c>
      <c r="BD202" s="3">
        <v>0</v>
      </c>
      <c r="BE202" s="3">
        <v>0</v>
      </c>
      <c r="BF202" s="3">
        <v>0</v>
      </c>
      <c r="BG202" s="3">
        <v>0</v>
      </c>
      <c r="BH202" s="3">
        <v>0</v>
      </c>
      <c r="BI202" s="3">
        <v>0</v>
      </c>
      <c r="BJ202" s="3">
        <v>276</v>
      </c>
      <c r="BK202" s="3">
        <v>0</v>
      </c>
      <c r="BL202" s="3">
        <v>259</v>
      </c>
      <c r="BM202" s="3">
        <v>0</v>
      </c>
      <c r="BN202" s="3">
        <f t="shared" si="16"/>
        <v>56.875364238410597</v>
      </c>
      <c r="BO202">
        <v>912</v>
      </c>
      <c r="BP202" s="3">
        <v>5</v>
      </c>
      <c r="BQ202" s="1">
        <f t="shared" si="10"/>
        <v>5.4824561403508769E-3</v>
      </c>
      <c r="BR202" s="6">
        <v>0.17699999999999999</v>
      </c>
      <c r="BS202" s="6">
        <v>3.7999999999999999E-2</v>
      </c>
      <c r="BT202" s="6">
        <v>1.6E-2</v>
      </c>
      <c r="BU202" s="6">
        <v>8.5000000000000006E-2</v>
      </c>
      <c r="BV202" s="6">
        <v>3.5999999999999997E-2</v>
      </c>
      <c r="BW202" s="6"/>
      <c r="BX202" s="3">
        <v>1686</v>
      </c>
      <c r="BY202" s="3">
        <v>1804</v>
      </c>
      <c r="BZ202" s="3">
        <v>0</v>
      </c>
      <c r="CA202" s="3">
        <v>479</v>
      </c>
      <c r="CB202" s="3">
        <v>1804</v>
      </c>
      <c r="CC202" s="3">
        <v>0</v>
      </c>
      <c r="CD202" s="3">
        <v>665</v>
      </c>
      <c r="CE202" s="4">
        <f t="shared" si="11"/>
        <v>11.803419309571856</v>
      </c>
      <c r="CF202" s="4">
        <f t="shared" si="7"/>
        <v>0.65246394072713221</v>
      </c>
      <c r="CG202" s="14">
        <f t="shared" si="8"/>
        <v>4318.2358966658849</v>
      </c>
      <c r="CH202" s="6">
        <f t="shared" si="9"/>
        <v>0.1237991850148949</v>
      </c>
      <c r="CJ202" s="6"/>
    </row>
    <row r="203" spans="1:88">
      <c r="A203" t="s">
        <v>204</v>
      </c>
      <c r="B203" t="s">
        <v>313</v>
      </c>
      <c r="C203" s="5">
        <v>0.79808235294117491</v>
      </c>
      <c r="D203" s="15">
        <v>7.0000000000000007E-2</v>
      </c>
      <c r="E203">
        <v>886</v>
      </c>
      <c r="F203" s="3">
        <f t="shared" si="6"/>
        <v>401.88331775997682</v>
      </c>
      <c r="G203">
        <v>0</v>
      </c>
      <c r="H203">
        <v>0</v>
      </c>
      <c r="I203">
        <v>0</v>
      </c>
      <c r="J203">
        <v>1</v>
      </c>
      <c r="K203">
        <v>0</v>
      </c>
      <c r="L203">
        <v>0</v>
      </c>
      <c r="M203">
        <v>0</v>
      </c>
      <c r="N203">
        <v>0</v>
      </c>
      <c r="O203">
        <v>1</v>
      </c>
      <c r="P203">
        <v>0</v>
      </c>
      <c r="Q203">
        <v>0</v>
      </c>
      <c r="R203" s="3">
        <f t="shared" si="12"/>
        <v>637.5</v>
      </c>
      <c r="S203" s="3">
        <f t="shared" si="13"/>
        <v>674.5</v>
      </c>
      <c r="T203">
        <v>67781240</v>
      </c>
      <c r="U203" s="6">
        <v>5.8499999999999996E-2</v>
      </c>
      <c r="V203" s="80">
        <v>3.0800000000000003E-3</v>
      </c>
      <c r="W203" s="11">
        <v>0.04</v>
      </c>
      <c r="X203" s="6">
        <f t="shared" si="15"/>
        <v>3.0587999999999997</v>
      </c>
      <c r="Y203">
        <v>18.100000000000001</v>
      </c>
      <c r="Z203" s="5">
        <v>5</v>
      </c>
      <c r="AA203" s="3">
        <v>121531</v>
      </c>
      <c r="AB203" s="14">
        <v>2770</v>
      </c>
      <c r="AC203" s="14">
        <v>52090</v>
      </c>
      <c r="AD203" s="3">
        <v>23780</v>
      </c>
      <c r="AE203" s="5">
        <v>1.3194221508828252</v>
      </c>
      <c r="AF203" s="14">
        <v>57190</v>
      </c>
      <c r="AG203">
        <v>450</v>
      </c>
      <c r="AH203" s="10">
        <v>60536.415094339623</v>
      </c>
      <c r="AI203" s="8">
        <v>0</v>
      </c>
      <c r="AJ203" s="14">
        <v>47540</v>
      </c>
      <c r="AK203" s="8">
        <v>0</v>
      </c>
      <c r="AL203" s="14">
        <v>37900</v>
      </c>
      <c r="AM203">
        <v>8390</v>
      </c>
      <c r="AN203" s="8"/>
      <c r="AO203" s="3">
        <v>0</v>
      </c>
      <c r="AP203" s="3">
        <v>77</v>
      </c>
      <c r="AQ203" s="3">
        <v>0</v>
      </c>
      <c r="AR203" s="3">
        <v>129</v>
      </c>
      <c r="AS203" s="3">
        <v>0</v>
      </c>
      <c r="AT203" s="3">
        <v>0</v>
      </c>
      <c r="AU203" s="3">
        <v>0</v>
      </c>
      <c r="AV203" s="3">
        <v>0</v>
      </c>
      <c r="AW203" s="3">
        <v>0</v>
      </c>
      <c r="AX203" s="3">
        <v>0</v>
      </c>
      <c r="AY203" s="3">
        <v>290</v>
      </c>
      <c r="AZ203" s="3">
        <v>0</v>
      </c>
      <c r="BA203" s="3">
        <v>0</v>
      </c>
      <c r="BB203" s="3">
        <v>0</v>
      </c>
      <c r="BC203" s="3">
        <v>0</v>
      </c>
      <c r="BD203" s="3">
        <v>0</v>
      </c>
      <c r="BE203" s="3">
        <v>0</v>
      </c>
      <c r="BF203" s="3">
        <v>0</v>
      </c>
      <c r="BG203" s="3">
        <v>0</v>
      </c>
      <c r="BH203" s="3">
        <v>0</v>
      </c>
      <c r="BI203" s="3">
        <v>0</v>
      </c>
      <c r="BJ203" s="3">
        <v>0</v>
      </c>
      <c r="BK203" s="3">
        <v>0</v>
      </c>
      <c r="BL203" s="3">
        <v>0</v>
      </c>
      <c r="BM203" s="3">
        <v>0</v>
      </c>
      <c r="BN203" s="3">
        <f t="shared" si="16"/>
        <v>57.634274193548386</v>
      </c>
      <c r="BO203">
        <v>685</v>
      </c>
      <c r="BP203" s="3">
        <v>7</v>
      </c>
      <c r="BQ203" s="1">
        <f t="shared" si="10"/>
        <v>1.0218978102189781E-2</v>
      </c>
      <c r="BR203" s="6">
        <v>0.17399999999999999</v>
      </c>
      <c r="BS203" s="6">
        <v>4.2999999999999997E-2</v>
      </c>
      <c r="BT203" s="6">
        <v>1.7000000000000001E-2</v>
      </c>
      <c r="BU203" s="6">
        <v>9.4E-2</v>
      </c>
      <c r="BV203" s="6">
        <v>2.8000000000000001E-2</v>
      </c>
      <c r="BW203" s="6"/>
      <c r="BX203" s="3">
        <v>179</v>
      </c>
      <c r="BY203" s="3">
        <v>576</v>
      </c>
      <c r="BZ203" s="3">
        <v>94</v>
      </c>
      <c r="CA203" s="3">
        <v>757</v>
      </c>
      <c r="CB203" s="3">
        <v>576</v>
      </c>
      <c r="CC203" s="3">
        <v>211</v>
      </c>
      <c r="CD203" s="3">
        <v>0</v>
      </c>
      <c r="CE203" s="4">
        <f t="shared" si="11"/>
        <v>11.331146737739243</v>
      </c>
      <c r="CF203" s="4">
        <f t="shared" si="7"/>
        <v>0.69277252491853725</v>
      </c>
      <c r="CG203" s="14">
        <f t="shared" si="8"/>
        <v>3581.185790194354</v>
      </c>
      <c r="CH203" s="6">
        <f t="shared" si="9"/>
        <v>9.0654250120960331E-2</v>
      </c>
      <c r="CJ203" s="6"/>
    </row>
    <row r="204" spans="1:88">
      <c r="A204" t="s">
        <v>334</v>
      </c>
      <c r="B204" t="s">
        <v>201</v>
      </c>
      <c r="C204" s="5">
        <v>0.94890350877192675</v>
      </c>
      <c r="D204" s="15">
        <v>4.2250000000000003E-2</v>
      </c>
      <c r="E204">
        <v>1584</v>
      </c>
      <c r="F204" s="3">
        <f t="shared" si="6"/>
        <v>718.49116854605336</v>
      </c>
      <c r="G204">
        <v>0</v>
      </c>
      <c r="H204">
        <v>0</v>
      </c>
      <c r="I204">
        <v>0</v>
      </c>
      <c r="J204">
        <v>1</v>
      </c>
      <c r="K204">
        <v>0</v>
      </c>
      <c r="L204">
        <v>0</v>
      </c>
      <c r="M204">
        <v>0</v>
      </c>
      <c r="N204">
        <v>1</v>
      </c>
      <c r="O204">
        <v>1</v>
      </c>
      <c r="P204">
        <v>0</v>
      </c>
      <c r="Q204">
        <v>0</v>
      </c>
      <c r="R204" s="3">
        <f t="shared" si="12"/>
        <v>649</v>
      </c>
      <c r="S204" s="3">
        <f t="shared" si="13"/>
        <v>684</v>
      </c>
      <c r="T204">
        <v>79361031</v>
      </c>
      <c r="U204" s="6">
        <v>7.1099999999999997E-2</v>
      </c>
      <c r="V204" s="80">
        <v>2.0899999999999998E-3</v>
      </c>
      <c r="W204" s="11">
        <v>0.05</v>
      </c>
      <c r="X204" s="6">
        <f t="shared" si="15"/>
        <v>3.1806999999999999</v>
      </c>
      <c r="Y204">
        <v>13</v>
      </c>
      <c r="Z204" s="5">
        <v>4.5</v>
      </c>
      <c r="AA204" s="3">
        <v>178040</v>
      </c>
      <c r="AB204" s="14">
        <v>2500</v>
      </c>
      <c r="AC204" s="14">
        <v>51900</v>
      </c>
      <c r="AD204" s="3">
        <v>44940</v>
      </c>
      <c r="AE204" s="5">
        <v>1.277602523659306</v>
      </c>
      <c r="AF204" s="14">
        <v>73020</v>
      </c>
      <c r="AG204">
        <v>950</v>
      </c>
      <c r="AH204" s="14">
        <v>48050</v>
      </c>
      <c r="AI204">
        <v>170</v>
      </c>
      <c r="AJ204" s="14">
        <v>63630</v>
      </c>
      <c r="AK204">
        <v>500</v>
      </c>
      <c r="AL204" s="14">
        <v>43490</v>
      </c>
      <c r="AM204">
        <v>15030</v>
      </c>
      <c r="AO204" s="3">
        <v>0</v>
      </c>
      <c r="AP204" s="3">
        <v>0</v>
      </c>
      <c r="AQ204" s="3">
        <v>0</v>
      </c>
      <c r="AR204" s="3">
        <v>0</v>
      </c>
      <c r="AS204" s="3">
        <v>0</v>
      </c>
      <c r="AT204" s="3">
        <v>0</v>
      </c>
      <c r="AU204" s="3">
        <v>0</v>
      </c>
      <c r="AV204" s="3">
        <v>114</v>
      </c>
      <c r="AW204" s="3">
        <v>0</v>
      </c>
      <c r="AX204" s="3">
        <v>0</v>
      </c>
      <c r="AY204" s="3">
        <v>209</v>
      </c>
      <c r="AZ204" s="3">
        <v>0</v>
      </c>
      <c r="BA204" s="3">
        <v>250</v>
      </c>
      <c r="BB204" s="3">
        <v>0</v>
      </c>
      <c r="BC204" s="3">
        <v>0</v>
      </c>
      <c r="BD204" s="3">
        <v>0</v>
      </c>
      <c r="BE204" s="3">
        <v>0</v>
      </c>
      <c r="BF204" s="3">
        <v>0</v>
      </c>
      <c r="BG204" s="3">
        <v>0</v>
      </c>
      <c r="BH204" s="3">
        <v>0</v>
      </c>
      <c r="BI204" s="3">
        <v>0</v>
      </c>
      <c r="BJ204" s="3">
        <v>0</v>
      </c>
      <c r="BK204" s="3">
        <v>0</v>
      </c>
      <c r="BL204" s="3">
        <v>0</v>
      </c>
      <c r="BM204" s="3">
        <v>0</v>
      </c>
      <c r="BN204" s="3">
        <f t="shared" si="16"/>
        <v>56.872949389179759</v>
      </c>
      <c r="BO204">
        <v>1180</v>
      </c>
      <c r="BP204" s="3">
        <v>13</v>
      </c>
      <c r="BQ204" s="1">
        <f t="shared" si="10"/>
        <v>1.1016949152542373E-2</v>
      </c>
      <c r="BR204" s="6">
        <v>0.17699999999999999</v>
      </c>
      <c r="BS204" s="6">
        <v>3.7999999999999999E-2</v>
      </c>
      <c r="BT204" s="6">
        <v>1.6E-2</v>
      </c>
      <c r="BU204" s="6">
        <v>8.5000000000000006E-2</v>
      </c>
      <c r="BV204" s="6">
        <v>3.5999999999999997E-2</v>
      </c>
      <c r="BW204" s="6"/>
      <c r="BX204" s="3">
        <v>1952</v>
      </c>
      <c r="BY204" s="3">
        <v>606</v>
      </c>
      <c r="BZ204" s="3">
        <v>1</v>
      </c>
      <c r="CA204" s="3">
        <v>0</v>
      </c>
      <c r="CB204" s="3">
        <v>606</v>
      </c>
      <c r="CC204" s="3">
        <v>579</v>
      </c>
      <c r="CD204" s="3">
        <v>1533</v>
      </c>
      <c r="CE204" s="4">
        <f t="shared" si="11"/>
        <v>11.5254837083168</v>
      </c>
      <c r="CF204" s="4">
        <f t="shared" si="7"/>
        <v>0.64847649642926686</v>
      </c>
      <c r="CG204" s="14">
        <f t="shared" si="8"/>
        <v>4814.6450466779925</v>
      </c>
      <c r="CH204" s="6">
        <f t="shared" si="9"/>
        <v>0.16191450491222095</v>
      </c>
      <c r="CJ204" s="6"/>
    </row>
    <row r="205" spans="1:88">
      <c r="A205" t="s">
        <v>335</v>
      </c>
      <c r="B205" t="s">
        <v>314</v>
      </c>
      <c r="C205" s="5">
        <v>1.0839335180055403</v>
      </c>
      <c r="D205" s="15">
        <v>0</v>
      </c>
      <c r="E205">
        <v>1109</v>
      </c>
      <c r="F205" s="3">
        <f t="shared" si="6"/>
        <v>503.03453656412449</v>
      </c>
      <c r="G205">
        <v>0</v>
      </c>
      <c r="H205">
        <v>0</v>
      </c>
      <c r="I205">
        <v>0</v>
      </c>
      <c r="J205">
        <v>1</v>
      </c>
      <c r="K205">
        <v>0</v>
      </c>
      <c r="L205">
        <v>1</v>
      </c>
      <c r="M205">
        <v>0</v>
      </c>
      <c r="N205">
        <v>1</v>
      </c>
      <c r="O205">
        <v>0</v>
      </c>
      <c r="P205">
        <v>0</v>
      </c>
      <c r="Q205">
        <v>0</v>
      </c>
      <c r="R205" s="3">
        <f t="shared" si="12"/>
        <v>605.66666666666663</v>
      </c>
      <c r="S205" s="3">
        <f t="shared" si="13"/>
        <v>636.33333333333337</v>
      </c>
      <c r="T205">
        <v>27088740</v>
      </c>
      <c r="U205" s="6">
        <v>5.45E-2</v>
      </c>
      <c r="V205" s="80">
        <v>3.3399999999999997E-3</v>
      </c>
      <c r="W205" s="11">
        <v>6.0000000000000001E-3</v>
      </c>
      <c r="X205" s="6">
        <f t="shared" si="15"/>
        <v>3.2575000000000003</v>
      </c>
      <c r="Y205">
        <v>5.9</v>
      </c>
      <c r="Z205" s="5">
        <v>4</v>
      </c>
      <c r="AA205" s="3">
        <v>376962</v>
      </c>
      <c r="AB205" s="14">
        <v>800</v>
      </c>
      <c r="AC205" s="14">
        <v>52770</v>
      </c>
      <c r="AD205" s="3">
        <v>7100</v>
      </c>
      <c r="AE205" s="5">
        <v>1.2756302521008405</v>
      </c>
      <c r="AF205" s="14">
        <v>67090</v>
      </c>
      <c r="AG205">
        <v>120</v>
      </c>
      <c r="AH205" s="14">
        <v>78760</v>
      </c>
      <c r="AI205">
        <v>40</v>
      </c>
      <c r="AJ205" s="14">
        <v>64030</v>
      </c>
      <c r="AK205">
        <v>110</v>
      </c>
      <c r="AL205" s="14">
        <v>43040</v>
      </c>
      <c r="AM205">
        <v>1020</v>
      </c>
      <c r="AO205" s="3">
        <v>0</v>
      </c>
      <c r="AP205" s="3">
        <v>0</v>
      </c>
      <c r="AQ205" s="3">
        <v>396</v>
      </c>
      <c r="AR205" s="3">
        <v>0</v>
      </c>
      <c r="AS205" s="3">
        <v>0</v>
      </c>
      <c r="AT205" s="3">
        <v>0</v>
      </c>
      <c r="AU205" s="3">
        <v>0</v>
      </c>
      <c r="AV205" s="3">
        <v>0</v>
      </c>
      <c r="AW205" s="3">
        <v>0</v>
      </c>
      <c r="AX205" s="3">
        <v>0</v>
      </c>
      <c r="AY205" s="3">
        <v>0</v>
      </c>
      <c r="AZ205" s="3">
        <v>0</v>
      </c>
      <c r="BA205" s="3">
        <v>0</v>
      </c>
      <c r="BB205" s="3">
        <v>0</v>
      </c>
      <c r="BC205" s="3">
        <v>0</v>
      </c>
      <c r="BD205" s="3">
        <v>0</v>
      </c>
      <c r="BE205" s="3">
        <v>0</v>
      </c>
      <c r="BF205" s="3">
        <v>0</v>
      </c>
      <c r="BG205" s="3">
        <v>0</v>
      </c>
      <c r="BH205" s="3">
        <v>0</v>
      </c>
      <c r="BI205" s="3">
        <v>0</v>
      </c>
      <c r="BJ205" s="3">
        <v>544</v>
      </c>
      <c r="BK205" s="3">
        <v>0</v>
      </c>
      <c r="BL205" s="3">
        <v>249</v>
      </c>
      <c r="BM205" s="3">
        <v>0</v>
      </c>
      <c r="BN205" s="3">
        <f t="shared" si="16"/>
        <v>56.883010933557621</v>
      </c>
      <c r="BO205">
        <v>1191</v>
      </c>
      <c r="BP205" s="3">
        <v>13</v>
      </c>
      <c r="BQ205" s="1">
        <f t="shared" si="10"/>
        <v>1.09151973131822E-2</v>
      </c>
      <c r="BR205" s="6">
        <v>0.156</v>
      </c>
      <c r="BS205" s="6">
        <v>4.2000000000000003E-2</v>
      </c>
      <c r="BT205" s="6">
        <v>1.0999999999999999E-2</v>
      </c>
      <c r="BU205" s="6">
        <v>7.5999999999999998E-2</v>
      </c>
      <c r="BV205" s="6">
        <v>2.3E-2</v>
      </c>
      <c r="BW205" s="6"/>
      <c r="BX205" s="3">
        <v>2312</v>
      </c>
      <c r="BY205" s="3">
        <v>0</v>
      </c>
      <c r="BZ205" s="3">
        <v>0</v>
      </c>
      <c r="CA205" s="3">
        <v>0</v>
      </c>
      <c r="CB205" s="3">
        <v>0</v>
      </c>
      <c r="CC205" s="3">
        <v>0</v>
      </c>
      <c r="CD205" s="3">
        <v>126</v>
      </c>
      <c r="CE205" s="4">
        <f t="shared" si="11"/>
        <v>11.734276883088352</v>
      </c>
      <c r="CF205" s="4">
        <f t="shared" si="7"/>
        <v>0.62559663024603396</v>
      </c>
      <c r="CG205" s="14">
        <f t="shared" si="8"/>
        <v>5203.4861530680246</v>
      </c>
      <c r="CH205" s="6">
        <f t="shared" si="9"/>
        <v>0.16588222619744589</v>
      </c>
      <c r="CJ205" s="6"/>
    </row>
    <row r="206" spans="1:88">
      <c r="A206" t="s">
        <v>336</v>
      </c>
      <c r="B206" t="s">
        <v>314</v>
      </c>
      <c r="C206" s="5">
        <v>0.91314393939393623</v>
      </c>
      <c r="D206" s="15">
        <v>5.5E-2</v>
      </c>
      <c r="E206">
        <v>1199</v>
      </c>
      <c r="F206" s="3">
        <f t="shared" si="6"/>
        <v>543.85789841333201</v>
      </c>
      <c r="G206">
        <v>0</v>
      </c>
      <c r="H206">
        <v>0</v>
      </c>
      <c r="I206">
        <v>0</v>
      </c>
      <c r="J206">
        <v>0</v>
      </c>
      <c r="K206">
        <v>0</v>
      </c>
      <c r="L206">
        <v>0</v>
      </c>
      <c r="M206">
        <v>0</v>
      </c>
      <c r="N206">
        <v>1</v>
      </c>
      <c r="O206">
        <v>0</v>
      </c>
      <c r="P206">
        <v>0</v>
      </c>
      <c r="Q206">
        <v>0</v>
      </c>
      <c r="R206" s="3">
        <f t="shared" si="12"/>
        <v>672</v>
      </c>
      <c r="S206" s="3">
        <f t="shared" si="13"/>
        <v>703</v>
      </c>
      <c r="T206">
        <v>40692718</v>
      </c>
      <c r="U206" s="6">
        <v>7.6499999999999999E-2</v>
      </c>
      <c r="V206" s="80">
        <v>2.0899999999999998E-3</v>
      </c>
      <c r="W206" s="11">
        <v>0.05</v>
      </c>
      <c r="X206" s="6">
        <f t="shared" si="15"/>
        <v>3.2575000000000003</v>
      </c>
      <c r="Y206">
        <v>9.6999999999999993</v>
      </c>
      <c r="Z206" s="5">
        <v>4.5</v>
      </c>
      <c r="AA206" s="3">
        <v>198974</v>
      </c>
      <c r="AB206" s="14">
        <v>1440</v>
      </c>
      <c r="AC206" s="14">
        <v>63560</v>
      </c>
      <c r="AD206" s="3">
        <v>24470</v>
      </c>
      <c r="AE206" s="5">
        <v>1.277602523659306</v>
      </c>
      <c r="AF206" s="14">
        <v>59440</v>
      </c>
      <c r="AG206">
        <v>390</v>
      </c>
      <c r="AH206" s="14">
        <v>60920</v>
      </c>
      <c r="AI206">
        <v>100</v>
      </c>
      <c r="AJ206" s="10">
        <v>68916.666666666672</v>
      </c>
      <c r="AK206" s="8">
        <v>0</v>
      </c>
      <c r="AL206" s="14">
        <v>41900</v>
      </c>
      <c r="AM206">
        <v>4070</v>
      </c>
      <c r="AN206" s="8"/>
      <c r="AO206" s="3">
        <v>0</v>
      </c>
      <c r="AP206" s="3">
        <v>0</v>
      </c>
      <c r="AQ206" s="3">
        <v>0</v>
      </c>
      <c r="AR206" s="3">
        <v>0</v>
      </c>
      <c r="AS206" s="3">
        <v>0</v>
      </c>
      <c r="AT206" s="3">
        <v>0</v>
      </c>
      <c r="AU206" s="3">
        <v>0</v>
      </c>
      <c r="AV206" s="3">
        <v>0</v>
      </c>
      <c r="AW206" s="3">
        <v>0</v>
      </c>
      <c r="AX206" s="3">
        <v>0</v>
      </c>
      <c r="AY206" s="3">
        <v>0</v>
      </c>
      <c r="AZ206" s="3">
        <v>0</v>
      </c>
      <c r="BA206" s="3">
        <v>0</v>
      </c>
      <c r="BB206" s="3">
        <v>0</v>
      </c>
      <c r="BC206" s="3">
        <v>2</v>
      </c>
      <c r="BD206" s="3">
        <v>0</v>
      </c>
      <c r="BE206" s="3">
        <v>455</v>
      </c>
      <c r="BF206" s="3">
        <v>0</v>
      </c>
      <c r="BG206" s="3">
        <v>0</v>
      </c>
      <c r="BH206" s="3">
        <v>0</v>
      </c>
      <c r="BI206" s="3">
        <v>0</v>
      </c>
      <c r="BJ206" s="3">
        <v>0</v>
      </c>
      <c r="BK206" s="3">
        <v>0</v>
      </c>
      <c r="BL206" s="3">
        <v>0</v>
      </c>
      <c r="BM206" s="3">
        <v>0</v>
      </c>
      <c r="BN206" s="3">
        <f t="shared" si="16"/>
        <v>57.685995623632387</v>
      </c>
      <c r="BO206">
        <v>482</v>
      </c>
      <c r="BP206" s="3">
        <v>2</v>
      </c>
      <c r="BQ206" s="1">
        <f t="shared" si="10"/>
        <v>4.1493775933609959E-3</v>
      </c>
      <c r="BR206" s="6">
        <v>0.17699999999999999</v>
      </c>
      <c r="BS206" s="6">
        <v>3.7999999999999999E-2</v>
      </c>
      <c r="BT206" s="6">
        <v>1.6E-2</v>
      </c>
      <c r="BU206" s="6">
        <v>8.5000000000000006E-2</v>
      </c>
      <c r="BV206" s="6">
        <v>3.5999999999999997E-2</v>
      </c>
      <c r="BW206" s="6"/>
      <c r="BX206" s="3">
        <v>1522</v>
      </c>
      <c r="BY206" s="3">
        <v>0</v>
      </c>
      <c r="BZ206" s="3">
        <v>0</v>
      </c>
      <c r="CA206" s="3">
        <v>12</v>
      </c>
      <c r="CB206" s="3">
        <v>0</v>
      </c>
      <c r="CC206" s="3">
        <v>0</v>
      </c>
      <c r="CD206" s="3">
        <v>1065</v>
      </c>
      <c r="CE206" s="4">
        <f t="shared" si="11"/>
        <v>11.650357790924875</v>
      </c>
      <c r="CF206" s="4">
        <f t="shared" si="7"/>
        <v>0.59143134084457649</v>
      </c>
      <c r="CG206" s="14">
        <f t="shared" si="8"/>
        <v>5050.8328073004704</v>
      </c>
      <c r="CH206" s="6">
        <f t="shared" si="9"/>
        <v>0.19391681575391984</v>
      </c>
      <c r="CJ206" s="6"/>
    </row>
    <row r="207" spans="1:88">
      <c r="A207" t="s">
        <v>337</v>
      </c>
      <c r="B207" t="s">
        <v>314</v>
      </c>
      <c r="C207" s="5">
        <v>1.1502293577981673</v>
      </c>
      <c r="D207" s="15">
        <v>6.8500000000000005E-2</v>
      </c>
      <c r="E207">
        <v>698</v>
      </c>
      <c r="F207" s="3">
        <f t="shared" si="6"/>
        <v>316.60785078607654</v>
      </c>
      <c r="G207">
        <v>1</v>
      </c>
      <c r="H207">
        <v>0</v>
      </c>
      <c r="I207">
        <v>0</v>
      </c>
      <c r="J207">
        <v>0</v>
      </c>
      <c r="K207">
        <v>0</v>
      </c>
      <c r="L207">
        <v>1</v>
      </c>
      <c r="M207">
        <v>0</v>
      </c>
      <c r="N207">
        <v>0</v>
      </c>
      <c r="O207">
        <v>0</v>
      </c>
      <c r="P207">
        <v>1</v>
      </c>
      <c r="Q207">
        <v>0</v>
      </c>
      <c r="R207" s="3">
        <f t="shared" si="12"/>
        <v>458</v>
      </c>
      <c r="S207" s="3">
        <f t="shared" si="13"/>
        <v>494.33333333333331</v>
      </c>
      <c r="T207">
        <v>42591838</v>
      </c>
      <c r="U207" s="6">
        <v>6.1399999999999996E-2</v>
      </c>
      <c r="V207" s="80">
        <v>3.3399999999999997E-3</v>
      </c>
      <c r="W207" s="11">
        <v>6.0000000000000001E-3</v>
      </c>
      <c r="X207" s="6">
        <f t="shared" si="15"/>
        <v>3.2575000000000003</v>
      </c>
      <c r="Y207">
        <v>10.8</v>
      </c>
      <c r="Z207" s="5">
        <v>5.25</v>
      </c>
      <c r="AA207" s="3">
        <v>284332</v>
      </c>
      <c r="AB207" s="10">
        <f>AB239</f>
        <v>1760</v>
      </c>
      <c r="AC207" s="14">
        <v>52980</v>
      </c>
      <c r="AD207" s="3">
        <v>16830</v>
      </c>
      <c r="AE207" s="5">
        <v>1.2756302521008405</v>
      </c>
      <c r="AF207" s="14">
        <v>103350</v>
      </c>
      <c r="AG207">
        <v>300</v>
      </c>
      <c r="AH207" s="10">
        <v>74961.666666666672</v>
      </c>
      <c r="AI207" s="8">
        <v>0</v>
      </c>
      <c r="AJ207" s="10">
        <v>68916.666666666672</v>
      </c>
      <c r="AK207" s="8">
        <v>0</v>
      </c>
      <c r="AL207" s="14">
        <v>47180</v>
      </c>
      <c r="AM207">
        <v>7080</v>
      </c>
      <c r="AN207" s="8"/>
      <c r="AO207" s="3">
        <v>0</v>
      </c>
      <c r="AP207" s="3">
        <v>0</v>
      </c>
      <c r="AQ207" s="3">
        <v>124</v>
      </c>
      <c r="AR207" s="3">
        <v>0</v>
      </c>
      <c r="AS207" s="3">
        <v>0</v>
      </c>
      <c r="AT207" s="3">
        <v>0</v>
      </c>
      <c r="AU207" s="3">
        <v>0</v>
      </c>
      <c r="AV207" s="3">
        <v>0</v>
      </c>
      <c r="AW207" s="3">
        <v>0</v>
      </c>
      <c r="AX207" s="3">
        <v>0</v>
      </c>
      <c r="AY207" s="3">
        <v>0</v>
      </c>
      <c r="AZ207" s="3">
        <v>0</v>
      </c>
      <c r="BA207" s="3">
        <v>0</v>
      </c>
      <c r="BB207" s="3">
        <v>0</v>
      </c>
      <c r="BC207" s="3">
        <v>0</v>
      </c>
      <c r="BD207" s="3">
        <v>0</v>
      </c>
      <c r="BE207" s="3">
        <v>411</v>
      </c>
      <c r="BF207" s="3">
        <v>0</v>
      </c>
      <c r="BG207" s="3">
        <v>0</v>
      </c>
      <c r="BH207" s="3">
        <v>0</v>
      </c>
      <c r="BI207" s="3">
        <v>0</v>
      </c>
      <c r="BJ207" s="3">
        <v>0</v>
      </c>
      <c r="BK207" s="3">
        <v>0</v>
      </c>
      <c r="BL207" s="3">
        <v>0</v>
      </c>
      <c r="BM207" s="3">
        <v>0</v>
      </c>
      <c r="BN207" s="3">
        <f t="shared" si="16"/>
        <v>57.468224299065419</v>
      </c>
      <c r="BO207">
        <v>560</v>
      </c>
      <c r="BP207" s="3">
        <v>6</v>
      </c>
      <c r="BQ207" s="1">
        <f t="shared" si="10"/>
        <v>1.0714285714285714E-2</v>
      </c>
      <c r="BR207" s="6">
        <v>0.156</v>
      </c>
      <c r="BS207" s="6">
        <v>4.2000000000000003E-2</v>
      </c>
      <c r="BT207" s="6">
        <v>1.0999999999999999E-2</v>
      </c>
      <c r="BU207" s="6">
        <v>7.5999999999999998E-2</v>
      </c>
      <c r="BV207" s="6">
        <v>2.3E-2</v>
      </c>
      <c r="BW207" s="6"/>
      <c r="BX207" s="3">
        <v>798</v>
      </c>
      <c r="BY207" s="3">
        <v>0</v>
      </c>
      <c r="BZ207" s="3">
        <v>0</v>
      </c>
      <c r="CA207" s="3">
        <v>0</v>
      </c>
      <c r="CB207" s="3">
        <v>0</v>
      </c>
      <c r="CC207" s="3">
        <v>0</v>
      </c>
      <c r="CD207" s="3">
        <v>1193</v>
      </c>
      <c r="CE207" s="4">
        <f t="shared" si="11"/>
        <v>11.613637894723714</v>
      </c>
      <c r="CF207" s="4">
        <f t="shared" si="7"/>
        <v>0.57340149139957919</v>
      </c>
      <c r="CG207" s="14">
        <f t="shared" si="8"/>
        <v>4994.0808037441766</v>
      </c>
      <c r="CH207" s="6">
        <f t="shared" si="9"/>
        <v>0.20942993677511537</v>
      </c>
      <c r="CJ207" s="6"/>
    </row>
    <row r="208" spans="1:88">
      <c r="A208" t="s">
        <v>338</v>
      </c>
      <c r="B208" t="s">
        <v>312</v>
      </c>
      <c r="C208" s="5">
        <v>1.0799999999999985</v>
      </c>
      <c r="D208" s="15">
        <v>0</v>
      </c>
      <c r="E208">
        <v>298</v>
      </c>
      <c r="F208" s="3">
        <f t="shared" si="6"/>
        <v>135.17068701182063</v>
      </c>
      <c r="G208">
        <v>0</v>
      </c>
      <c r="H208">
        <v>0</v>
      </c>
      <c r="I208">
        <v>1</v>
      </c>
      <c r="J208">
        <v>0</v>
      </c>
      <c r="K208">
        <v>0</v>
      </c>
      <c r="L208">
        <v>0</v>
      </c>
      <c r="M208">
        <v>0</v>
      </c>
      <c r="N208">
        <v>0</v>
      </c>
      <c r="O208">
        <v>0</v>
      </c>
      <c r="P208">
        <v>0</v>
      </c>
      <c r="Q208">
        <v>0</v>
      </c>
      <c r="R208" s="3">
        <f t="shared" si="12"/>
        <v>376</v>
      </c>
      <c r="S208" s="3">
        <f t="shared" si="13"/>
        <v>400</v>
      </c>
      <c r="T208">
        <v>18764393</v>
      </c>
      <c r="U208" s="6">
        <v>0.13089999999999999</v>
      </c>
      <c r="V208" s="80">
        <v>2.82E-3</v>
      </c>
      <c r="W208" s="11">
        <v>8.5999999999999993E-2</v>
      </c>
      <c r="X208" s="6">
        <f t="shared" si="15"/>
        <v>3.2866</v>
      </c>
      <c r="Y208">
        <v>7.1</v>
      </c>
      <c r="Z208" s="5">
        <v>4</v>
      </c>
      <c r="AA208" s="3">
        <v>23187</v>
      </c>
      <c r="AB208" s="14">
        <v>8290</v>
      </c>
      <c r="AC208" s="14">
        <v>54360</v>
      </c>
      <c r="AD208" s="3">
        <v>7560</v>
      </c>
      <c r="AE208" s="5">
        <v>1.2645259938837918</v>
      </c>
      <c r="AF208" s="14">
        <v>67270</v>
      </c>
      <c r="AG208">
        <v>60</v>
      </c>
      <c r="AH208" s="14">
        <v>63320</v>
      </c>
      <c r="AI208">
        <v>30</v>
      </c>
      <c r="AJ208" s="10">
        <v>50229.389671361503</v>
      </c>
      <c r="AK208" s="8">
        <v>0</v>
      </c>
      <c r="AL208" s="14">
        <v>46120</v>
      </c>
      <c r="AM208">
        <v>1590</v>
      </c>
      <c r="AN208" s="8"/>
      <c r="AO208" s="3">
        <v>0</v>
      </c>
      <c r="AP208" s="3">
        <v>0</v>
      </c>
      <c r="AQ208" s="3">
        <v>0</v>
      </c>
      <c r="AR208" s="3">
        <v>0</v>
      </c>
      <c r="AS208" s="3">
        <v>0</v>
      </c>
      <c r="AT208" s="3">
        <v>0</v>
      </c>
      <c r="AU208" s="3">
        <v>0</v>
      </c>
      <c r="AV208" s="3">
        <v>0</v>
      </c>
      <c r="AW208" s="3">
        <v>0</v>
      </c>
      <c r="AX208" s="3">
        <v>0</v>
      </c>
      <c r="AY208" s="3">
        <v>0</v>
      </c>
      <c r="AZ208" s="3">
        <v>0</v>
      </c>
      <c r="BA208" s="3">
        <v>0</v>
      </c>
      <c r="BB208" s="3">
        <v>0</v>
      </c>
      <c r="BC208" s="3">
        <v>0</v>
      </c>
      <c r="BD208" s="3">
        <v>0</v>
      </c>
      <c r="BE208" s="3">
        <v>0</v>
      </c>
      <c r="BF208" s="3">
        <v>0</v>
      </c>
      <c r="BG208" s="3">
        <v>0</v>
      </c>
      <c r="BH208" s="3">
        <v>0</v>
      </c>
      <c r="BI208" s="3">
        <v>0</v>
      </c>
      <c r="BJ208" s="3">
        <v>0</v>
      </c>
      <c r="BK208" s="3">
        <v>0</v>
      </c>
      <c r="BL208" s="3">
        <v>0</v>
      </c>
      <c r="BM208" s="3">
        <v>16</v>
      </c>
      <c r="BN208" s="3">
        <f t="shared" si="16"/>
        <v>56.2</v>
      </c>
      <c r="BO208">
        <v>224</v>
      </c>
      <c r="BP208" s="3">
        <v>2</v>
      </c>
      <c r="BQ208" s="1">
        <f t="shared" si="10"/>
        <v>8.9285714285714281E-3</v>
      </c>
      <c r="BR208" s="6">
        <v>0.17499999999999999</v>
      </c>
      <c r="BS208" s="6">
        <v>0.04</v>
      </c>
      <c r="BT208" s="6">
        <v>1.7999999999999999E-2</v>
      </c>
      <c r="BU208" s="6">
        <v>8.4000000000000005E-2</v>
      </c>
      <c r="BV208" s="6">
        <v>4.8000000000000001E-2</v>
      </c>
      <c r="BW208" s="6"/>
      <c r="BX208" s="3">
        <v>0</v>
      </c>
      <c r="BY208" s="3">
        <v>24</v>
      </c>
      <c r="BZ208" s="3">
        <v>24</v>
      </c>
      <c r="CA208" s="3">
        <v>24</v>
      </c>
      <c r="CB208" s="3">
        <v>24</v>
      </c>
      <c r="CC208" s="3">
        <v>121</v>
      </c>
      <c r="CD208" s="3">
        <v>0</v>
      </c>
      <c r="CE208" s="4">
        <f t="shared" si="11"/>
        <v>10.473354680369715</v>
      </c>
      <c r="CF208" s="4">
        <f t="shared" si="7"/>
        <v>0.83658621751135565</v>
      </c>
      <c r="CG208" s="14">
        <f t="shared" si="8"/>
        <v>4360.6318418274741</v>
      </c>
      <c r="CH208" s="6">
        <f t="shared" si="9"/>
        <v>9.6273909030852783E-2</v>
      </c>
      <c r="CJ208" s="6"/>
    </row>
    <row r="209" spans="1:88">
      <c r="A209" t="s">
        <v>339</v>
      </c>
      <c r="B209" t="s">
        <v>312</v>
      </c>
      <c r="C209" s="5">
        <v>1.1915825688073409</v>
      </c>
      <c r="D209" s="15">
        <v>6.6250000000000003E-2</v>
      </c>
      <c r="E209">
        <v>537</v>
      </c>
      <c r="F209" s="3">
        <f t="shared" si="6"/>
        <v>243.57939236693855</v>
      </c>
      <c r="G209">
        <v>0</v>
      </c>
      <c r="H209">
        <v>0</v>
      </c>
      <c r="I209">
        <v>0</v>
      </c>
      <c r="J209">
        <v>0</v>
      </c>
      <c r="K209">
        <v>0</v>
      </c>
      <c r="L209">
        <v>0</v>
      </c>
      <c r="M209">
        <v>1</v>
      </c>
      <c r="N209">
        <v>0</v>
      </c>
      <c r="O209">
        <v>0</v>
      </c>
      <c r="P209">
        <v>0</v>
      </c>
      <c r="Q209">
        <v>0</v>
      </c>
      <c r="R209" s="3">
        <f t="shared" si="12"/>
        <v>522</v>
      </c>
      <c r="S209" s="3">
        <f t="shared" si="13"/>
        <v>578</v>
      </c>
      <c r="T209">
        <v>65060636</v>
      </c>
      <c r="U209" s="6">
        <v>0.1016</v>
      </c>
      <c r="V209" s="80">
        <v>2.82E-3</v>
      </c>
      <c r="W209" s="11">
        <v>8.5999999999999993E-2</v>
      </c>
      <c r="X209" s="6">
        <f t="shared" si="15"/>
        <v>3.2866</v>
      </c>
      <c r="Y209">
        <v>12.4</v>
      </c>
      <c r="Z209" s="5">
        <v>4.25</v>
      </c>
      <c r="AA209" s="3">
        <v>19047</v>
      </c>
      <c r="AB209" s="14">
        <v>16600</v>
      </c>
      <c r="AC209" s="14">
        <v>59380</v>
      </c>
      <c r="AD209" s="3">
        <v>49730</v>
      </c>
      <c r="AE209" s="5">
        <v>1.2645259938837918</v>
      </c>
      <c r="AF209" s="14">
        <v>97930</v>
      </c>
      <c r="AG209">
        <v>640</v>
      </c>
      <c r="AH209" s="10">
        <v>55982.7</v>
      </c>
      <c r="AI209" s="8">
        <v>0</v>
      </c>
      <c r="AJ209" s="10">
        <v>50229.389671361503</v>
      </c>
      <c r="AK209" s="8">
        <v>0</v>
      </c>
      <c r="AL209" s="14">
        <v>44840</v>
      </c>
      <c r="AM209">
        <v>19370</v>
      </c>
      <c r="AN209" s="8"/>
      <c r="AO209" s="3">
        <v>0</v>
      </c>
      <c r="AP209" s="3">
        <v>0</v>
      </c>
      <c r="AQ209" s="3">
        <v>0</v>
      </c>
      <c r="AR209" s="3">
        <v>0</v>
      </c>
      <c r="AS209" s="3">
        <v>0</v>
      </c>
      <c r="AT209" s="3">
        <v>0</v>
      </c>
      <c r="AU209" s="3">
        <v>0</v>
      </c>
      <c r="AV209" s="3">
        <v>0</v>
      </c>
      <c r="AW209" s="3">
        <v>0</v>
      </c>
      <c r="AX209" s="3">
        <v>0</v>
      </c>
      <c r="AY209" s="3">
        <v>0</v>
      </c>
      <c r="AZ209" s="3">
        <v>0</v>
      </c>
      <c r="BA209" s="3">
        <v>0</v>
      </c>
      <c r="BB209" s="3">
        <v>0</v>
      </c>
      <c r="BC209" s="3">
        <v>0</v>
      </c>
      <c r="BD209" s="3">
        <v>0</v>
      </c>
      <c r="BE209" s="3">
        <v>68</v>
      </c>
      <c r="BF209" s="3">
        <v>0</v>
      </c>
      <c r="BG209" s="3">
        <v>0</v>
      </c>
      <c r="BH209" s="3">
        <v>0</v>
      </c>
      <c r="BI209" s="3">
        <v>0</v>
      </c>
      <c r="BJ209" s="3">
        <v>0</v>
      </c>
      <c r="BK209" s="3">
        <v>0</v>
      </c>
      <c r="BL209" s="3">
        <v>0</v>
      </c>
      <c r="BM209" s="3">
        <v>98</v>
      </c>
      <c r="BN209" s="3">
        <f t="shared" si="16"/>
        <v>56.814457831325306</v>
      </c>
      <c r="BO209">
        <v>431</v>
      </c>
      <c r="BP209" s="3">
        <v>5</v>
      </c>
      <c r="BQ209" s="1">
        <f t="shared" si="10"/>
        <v>1.1600928074245939E-2</v>
      </c>
      <c r="BR209" s="6">
        <v>0.17499999999999999</v>
      </c>
      <c r="BS209" s="6">
        <v>0.04</v>
      </c>
      <c r="BT209" s="6">
        <v>1.7999999999999999E-2</v>
      </c>
      <c r="BU209" s="6">
        <v>8.4000000000000005E-2</v>
      </c>
      <c r="BV209" s="6">
        <v>4.8000000000000001E-2</v>
      </c>
      <c r="BW209" s="6"/>
      <c r="BX209" s="3">
        <v>0</v>
      </c>
      <c r="BY209" s="3">
        <v>68</v>
      </c>
      <c r="BZ209" s="3">
        <v>647</v>
      </c>
      <c r="CA209" s="3">
        <v>0</v>
      </c>
      <c r="CB209" s="3">
        <v>68</v>
      </c>
      <c r="CC209" s="3">
        <v>933</v>
      </c>
      <c r="CD209" s="3">
        <v>0</v>
      </c>
      <c r="CE209" s="4">
        <f t="shared" si="11"/>
        <v>10.371649569187078</v>
      </c>
      <c r="CF209" s="4">
        <f t="shared" si="7"/>
        <v>0.89590169354733906</v>
      </c>
      <c r="CG209" s="14">
        <f t="shared" si="8"/>
        <v>4876.2145466487436</v>
      </c>
      <c r="CH209" s="6">
        <f t="shared" si="9"/>
        <v>0.10825278782181148</v>
      </c>
      <c r="CJ209" s="6"/>
    </row>
    <row r="210" spans="1:88">
      <c r="A210" t="s">
        <v>340</v>
      </c>
      <c r="B210" t="s">
        <v>314</v>
      </c>
      <c r="C210" s="5">
        <v>0.93268749999999834</v>
      </c>
      <c r="D210" s="15">
        <v>5.1249999999999997E-2</v>
      </c>
      <c r="E210">
        <v>975</v>
      </c>
      <c r="F210" s="3">
        <f t="shared" si="6"/>
        <v>442.25308669974874</v>
      </c>
      <c r="G210">
        <v>0</v>
      </c>
      <c r="H210">
        <v>0</v>
      </c>
      <c r="I210">
        <v>0</v>
      </c>
      <c r="J210">
        <v>0</v>
      </c>
      <c r="K210">
        <v>0</v>
      </c>
      <c r="L210">
        <v>0</v>
      </c>
      <c r="M210">
        <v>0</v>
      </c>
      <c r="N210">
        <v>0</v>
      </c>
      <c r="O210">
        <v>0</v>
      </c>
      <c r="P210">
        <v>1</v>
      </c>
      <c r="Q210">
        <v>0</v>
      </c>
      <c r="R210" s="3">
        <f t="shared" si="12"/>
        <v>563</v>
      </c>
      <c r="S210" s="3">
        <f t="shared" si="13"/>
        <v>604</v>
      </c>
      <c r="T210">
        <v>40889036</v>
      </c>
      <c r="U210" s="6">
        <v>5.4800000000000001E-2</v>
      </c>
      <c r="V210" s="80">
        <v>3.3399999999999997E-3</v>
      </c>
      <c r="W210" s="11">
        <v>6.0000000000000001E-3</v>
      </c>
      <c r="X210" s="6">
        <f t="shared" si="15"/>
        <v>3.2575000000000003</v>
      </c>
      <c r="Y210">
        <v>12.8</v>
      </c>
      <c r="Z210" s="5">
        <v>5.75</v>
      </c>
      <c r="AA210" s="3">
        <v>314161</v>
      </c>
      <c r="AB210" s="14">
        <v>490</v>
      </c>
      <c r="AC210" s="14">
        <v>47790</v>
      </c>
      <c r="AD210" s="3">
        <v>11040</v>
      </c>
      <c r="AE210" s="5">
        <v>1.3228476821192052</v>
      </c>
      <c r="AF210" s="14">
        <v>71660</v>
      </c>
      <c r="AG210">
        <v>120</v>
      </c>
      <c r="AH210" s="14">
        <v>84150</v>
      </c>
      <c r="AI210">
        <v>40</v>
      </c>
      <c r="AJ210" s="10">
        <v>68916.666666666672</v>
      </c>
      <c r="AK210" s="8">
        <v>0</v>
      </c>
      <c r="AL210" s="14">
        <v>45020</v>
      </c>
      <c r="AM210">
        <v>2110</v>
      </c>
      <c r="AN210" s="8"/>
      <c r="AO210" s="3">
        <v>0</v>
      </c>
      <c r="AP210" s="3">
        <v>164</v>
      </c>
      <c r="AQ210" s="3">
        <v>0</v>
      </c>
      <c r="AR210" s="3">
        <v>0</v>
      </c>
      <c r="AS210" s="3">
        <v>0</v>
      </c>
      <c r="AT210" s="3">
        <v>462</v>
      </c>
      <c r="AU210" s="3">
        <v>0</v>
      </c>
      <c r="AV210" s="3">
        <v>0</v>
      </c>
      <c r="AW210" s="3">
        <v>374</v>
      </c>
      <c r="AX210" s="3">
        <v>0</v>
      </c>
      <c r="AY210" s="3">
        <v>0</v>
      </c>
      <c r="AZ210" s="3">
        <v>0</v>
      </c>
      <c r="BA210" s="3">
        <v>0</v>
      </c>
      <c r="BB210" s="3">
        <v>0</v>
      </c>
      <c r="BC210" s="3">
        <v>0</v>
      </c>
      <c r="BD210" s="3">
        <v>0</v>
      </c>
      <c r="BE210" s="3">
        <v>0</v>
      </c>
      <c r="BF210" s="3">
        <v>0</v>
      </c>
      <c r="BG210" s="3">
        <v>0</v>
      </c>
      <c r="BH210" s="3">
        <v>0</v>
      </c>
      <c r="BI210" s="3">
        <v>0</v>
      </c>
      <c r="BJ210" s="3">
        <v>0</v>
      </c>
      <c r="BK210" s="3">
        <v>0</v>
      </c>
      <c r="BL210" s="3">
        <v>0</v>
      </c>
      <c r="BM210" s="3">
        <v>0</v>
      </c>
      <c r="BN210" s="3">
        <f t="shared" si="16"/>
        <v>58.541800000000002</v>
      </c>
      <c r="BO210">
        <v>1000</v>
      </c>
      <c r="BP210" s="3">
        <v>9</v>
      </c>
      <c r="BQ210" s="1">
        <f t="shared" si="10"/>
        <v>8.9999999999999993E-3</v>
      </c>
      <c r="BR210" s="6">
        <v>0.17</v>
      </c>
      <c r="BS210" s="6">
        <v>4.4999999999999998E-2</v>
      </c>
      <c r="BT210" s="6">
        <v>1.4999999999999999E-2</v>
      </c>
      <c r="BU210" s="6">
        <v>9.1999999999999998E-2</v>
      </c>
      <c r="BV210" s="6">
        <v>0.03</v>
      </c>
      <c r="BW210" s="6"/>
      <c r="BX210" s="3">
        <v>1380</v>
      </c>
      <c r="BY210" s="3">
        <v>0</v>
      </c>
      <c r="BZ210" s="3">
        <v>0</v>
      </c>
      <c r="CA210" s="3">
        <v>0</v>
      </c>
      <c r="CB210" s="3">
        <v>0</v>
      </c>
      <c r="CC210" s="3">
        <v>0</v>
      </c>
      <c r="CD210" s="3">
        <v>618</v>
      </c>
      <c r="CE210" s="4">
        <f t="shared" si="11"/>
        <v>11.677511403216915</v>
      </c>
      <c r="CF210" s="4">
        <f t="shared" si="7"/>
        <v>0.60103672516277984</v>
      </c>
      <c r="CG210" s="14">
        <f t="shared" si="8"/>
        <v>5104.952542142134</v>
      </c>
      <c r="CH210" s="6">
        <f t="shared" si="9"/>
        <v>0.18637316964577877</v>
      </c>
      <c r="CJ210" s="6"/>
    </row>
    <row r="211" spans="1:88">
      <c r="A211" t="s">
        <v>341</v>
      </c>
      <c r="B211" t="s">
        <v>312</v>
      </c>
      <c r="C211" s="5">
        <v>1.1269142857142898</v>
      </c>
      <c r="D211" s="15">
        <v>0.04</v>
      </c>
      <c r="E211">
        <v>541</v>
      </c>
      <c r="F211" s="3">
        <f t="shared" si="6"/>
        <v>245.39376400468109</v>
      </c>
      <c r="G211">
        <v>0</v>
      </c>
      <c r="H211">
        <v>0</v>
      </c>
      <c r="I211">
        <v>0</v>
      </c>
      <c r="J211">
        <v>0</v>
      </c>
      <c r="K211">
        <v>1</v>
      </c>
      <c r="L211">
        <v>0</v>
      </c>
      <c r="M211">
        <v>0</v>
      </c>
      <c r="N211">
        <v>0</v>
      </c>
      <c r="O211">
        <v>0</v>
      </c>
      <c r="P211">
        <v>0</v>
      </c>
      <c r="Q211">
        <v>0</v>
      </c>
      <c r="R211" s="3">
        <f t="shared" si="12"/>
        <v>300</v>
      </c>
      <c r="S211" s="3">
        <f t="shared" si="13"/>
        <v>323</v>
      </c>
      <c r="T211">
        <v>125185363</v>
      </c>
      <c r="U211" s="6">
        <v>5.6100000000000004E-2</v>
      </c>
      <c r="V211" s="80">
        <v>2.82E-3</v>
      </c>
      <c r="W211" s="11">
        <v>8.5999999999999993E-2</v>
      </c>
      <c r="X211" s="6">
        <f t="shared" si="15"/>
        <v>3.2866</v>
      </c>
      <c r="Y211">
        <v>8.1</v>
      </c>
      <c r="Z211" s="5">
        <v>4</v>
      </c>
      <c r="AA211" s="3">
        <v>122057</v>
      </c>
      <c r="AB211" s="14">
        <v>1670</v>
      </c>
      <c r="AC211" s="14">
        <v>58110</v>
      </c>
      <c r="AD211" s="3">
        <v>63200</v>
      </c>
      <c r="AE211" s="5">
        <v>1.2645259938837918</v>
      </c>
      <c r="AF211" s="14">
        <v>136330</v>
      </c>
      <c r="AG211">
        <v>1180</v>
      </c>
      <c r="AH211" s="10">
        <v>55982.7</v>
      </c>
      <c r="AI211" s="8">
        <v>0</v>
      </c>
      <c r="AJ211" s="14">
        <v>49330</v>
      </c>
      <c r="AK211">
        <v>220</v>
      </c>
      <c r="AL211" s="14">
        <v>48470</v>
      </c>
      <c r="AM211">
        <v>19360</v>
      </c>
      <c r="AO211" s="3">
        <v>0</v>
      </c>
      <c r="AP211" s="3">
        <v>0</v>
      </c>
      <c r="AQ211" s="3">
        <v>0</v>
      </c>
      <c r="AR211" s="3">
        <v>0</v>
      </c>
      <c r="AS211" s="3">
        <v>0</v>
      </c>
      <c r="AT211" s="3">
        <v>0</v>
      </c>
      <c r="AU211" s="3">
        <v>0</v>
      </c>
      <c r="AV211" s="3">
        <v>0</v>
      </c>
      <c r="AW211" s="3">
        <v>0</v>
      </c>
      <c r="AX211" s="3">
        <v>0</v>
      </c>
      <c r="AY211" s="3">
        <v>0</v>
      </c>
      <c r="AZ211" s="3">
        <v>0</v>
      </c>
      <c r="BA211" s="3">
        <v>0</v>
      </c>
      <c r="BB211" s="3">
        <v>0</v>
      </c>
      <c r="BC211" s="3">
        <v>0</v>
      </c>
      <c r="BD211" s="3">
        <v>0</v>
      </c>
      <c r="BE211" s="3">
        <v>0</v>
      </c>
      <c r="BF211" s="3">
        <v>184</v>
      </c>
      <c r="BG211" s="3">
        <v>0</v>
      </c>
      <c r="BH211" s="3">
        <v>0</v>
      </c>
      <c r="BI211" s="3">
        <v>333</v>
      </c>
      <c r="BJ211" s="3">
        <v>385</v>
      </c>
      <c r="BK211" s="3">
        <v>0</v>
      </c>
      <c r="BL211" s="3">
        <v>0</v>
      </c>
      <c r="BM211" s="3">
        <v>24</v>
      </c>
      <c r="BN211" s="3">
        <f t="shared" si="16"/>
        <v>55.898488120950326</v>
      </c>
      <c r="BO211">
        <v>1674</v>
      </c>
      <c r="BP211" s="3">
        <v>15</v>
      </c>
      <c r="BQ211" s="1">
        <f t="shared" si="10"/>
        <v>8.9605734767025085E-3</v>
      </c>
      <c r="BR211" s="6">
        <v>0.17499999999999999</v>
      </c>
      <c r="BS211" s="6">
        <v>0.04</v>
      </c>
      <c r="BT211" s="6">
        <v>1.7999999999999999E-2</v>
      </c>
      <c r="BU211" s="6">
        <v>8.4000000000000005E-2</v>
      </c>
      <c r="BV211" s="6">
        <v>4.8000000000000001E-2</v>
      </c>
      <c r="BW211" s="6"/>
      <c r="BX211" s="3">
        <v>0</v>
      </c>
      <c r="BY211" s="3">
        <v>414</v>
      </c>
      <c r="BZ211" s="3">
        <v>1292</v>
      </c>
      <c r="CA211" s="3">
        <v>3</v>
      </c>
      <c r="CB211" s="3">
        <v>414</v>
      </c>
      <c r="CC211" s="3">
        <v>840</v>
      </c>
      <c r="CD211" s="3">
        <v>0</v>
      </c>
      <c r="CE211" s="4">
        <f t="shared" si="11"/>
        <v>10.908723847426597</v>
      </c>
      <c r="CF211" s="4">
        <f t="shared" si="7"/>
        <v>0.84631541380490505</v>
      </c>
      <c r="CG211" s="14">
        <f t="shared" si="8"/>
        <v>4759.3140732452384</v>
      </c>
      <c r="CH211" s="6">
        <f t="shared" si="9"/>
        <v>0.10867849791916542</v>
      </c>
      <c r="CJ211" s="6"/>
    </row>
    <row r="212" spans="1:88">
      <c r="A212" t="s">
        <v>342</v>
      </c>
      <c r="B212" t="s">
        <v>312</v>
      </c>
      <c r="C212" s="5">
        <v>0.87910569105691927</v>
      </c>
      <c r="D212" s="15">
        <v>4.7500000000000001E-2</v>
      </c>
      <c r="E212">
        <v>676</v>
      </c>
      <c r="F212" s="3">
        <f t="shared" ref="F212:F229" si="17">(E212/$A$48)</f>
        <v>306.62880677849245</v>
      </c>
      <c r="G212">
        <v>0</v>
      </c>
      <c r="H212">
        <v>0</v>
      </c>
      <c r="I212">
        <v>0</v>
      </c>
      <c r="J212">
        <v>0</v>
      </c>
      <c r="K212">
        <v>0</v>
      </c>
      <c r="L212">
        <v>0</v>
      </c>
      <c r="M212">
        <v>1</v>
      </c>
      <c r="N212">
        <v>0</v>
      </c>
      <c r="O212">
        <v>1</v>
      </c>
      <c r="P212">
        <v>0</v>
      </c>
      <c r="Q212">
        <v>0</v>
      </c>
      <c r="R212" s="3">
        <f t="shared" si="12"/>
        <v>535</v>
      </c>
      <c r="S212" s="3">
        <f t="shared" si="13"/>
        <v>580.5</v>
      </c>
      <c r="T212">
        <v>134257088</v>
      </c>
      <c r="U212" s="6">
        <v>6.3E-2</v>
      </c>
      <c r="V212" s="80">
        <v>3.0800000000000003E-3</v>
      </c>
      <c r="W212" s="11">
        <v>0.04</v>
      </c>
      <c r="X212" s="6">
        <f t="shared" si="15"/>
        <v>3.2866</v>
      </c>
      <c r="Y212">
        <v>15.6</v>
      </c>
      <c r="Z212" s="5">
        <v>4.75</v>
      </c>
      <c r="AA212" s="3">
        <v>125920</v>
      </c>
      <c r="AB212" s="14">
        <v>5550</v>
      </c>
      <c r="AC212" s="14">
        <v>50930</v>
      </c>
      <c r="AD212" s="3">
        <v>65240</v>
      </c>
      <c r="AE212" s="5">
        <v>1.3194221508828252</v>
      </c>
      <c r="AF212" s="14">
        <v>57080</v>
      </c>
      <c r="AG212">
        <v>1000</v>
      </c>
      <c r="AH212" s="10">
        <v>55982.7</v>
      </c>
      <c r="AI212" s="8">
        <v>0</v>
      </c>
      <c r="AJ212" s="10">
        <v>50229.389671361503</v>
      </c>
      <c r="AK212" s="8">
        <v>0</v>
      </c>
      <c r="AL212" s="14">
        <v>39790</v>
      </c>
      <c r="AM212">
        <v>23000</v>
      </c>
      <c r="AN212" s="8"/>
      <c r="AO212" s="3">
        <v>0</v>
      </c>
      <c r="AP212" s="3">
        <v>0</v>
      </c>
      <c r="AQ212" s="3">
        <v>0</v>
      </c>
      <c r="AR212" s="3">
        <v>0</v>
      </c>
      <c r="AS212" s="3">
        <v>0</v>
      </c>
      <c r="AT212" s="3">
        <v>0</v>
      </c>
      <c r="AU212" s="3">
        <v>53</v>
      </c>
      <c r="AV212" s="3">
        <v>0</v>
      </c>
      <c r="AW212" s="3">
        <v>420</v>
      </c>
      <c r="AX212" s="3">
        <v>0</v>
      </c>
      <c r="AY212" s="3">
        <v>0</v>
      </c>
      <c r="AZ212" s="3">
        <v>0</v>
      </c>
      <c r="BA212" s="3">
        <v>0</v>
      </c>
      <c r="BB212" s="3">
        <v>0</v>
      </c>
      <c r="BC212" s="3">
        <v>0</v>
      </c>
      <c r="BD212" s="3">
        <v>106</v>
      </c>
      <c r="BE212" s="3">
        <v>0</v>
      </c>
      <c r="BF212" s="3">
        <v>0</v>
      </c>
      <c r="BG212" s="3">
        <v>0</v>
      </c>
      <c r="BH212" s="3">
        <v>200</v>
      </c>
      <c r="BI212" s="3">
        <v>10</v>
      </c>
      <c r="BJ212" s="3">
        <v>0</v>
      </c>
      <c r="BK212" s="3">
        <v>0</v>
      </c>
      <c r="BL212" s="3">
        <v>0</v>
      </c>
      <c r="BM212" s="3">
        <v>181</v>
      </c>
      <c r="BN212" s="3">
        <f t="shared" si="16"/>
        <v>57.143814432989693</v>
      </c>
      <c r="BO212">
        <v>1020</v>
      </c>
      <c r="BP212" s="3">
        <v>8</v>
      </c>
      <c r="BQ212" s="1">
        <f t="shared" si="10"/>
        <v>7.8431372549019607E-3</v>
      </c>
      <c r="BR212" s="6">
        <v>0.17399999999999999</v>
      </c>
      <c r="BS212" s="6">
        <v>4.2999999999999997E-2</v>
      </c>
      <c r="BT212" s="6">
        <v>1.7000000000000001E-2</v>
      </c>
      <c r="BU212" s="6">
        <v>9.4E-2</v>
      </c>
      <c r="BV212" s="6">
        <v>2.8000000000000001E-2</v>
      </c>
      <c r="BW212" s="6"/>
      <c r="BX212" s="3">
        <v>0</v>
      </c>
      <c r="BY212" s="3">
        <v>0</v>
      </c>
      <c r="BZ212" s="3">
        <v>1111</v>
      </c>
      <c r="CA212" s="3">
        <v>0</v>
      </c>
      <c r="CB212" s="3">
        <v>0</v>
      </c>
      <c r="CC212" s="3">
        <v>1213</v>
      </c>
      <c r="CD212" s="3">
        <v>0</v>
      </c>
      <c r="CE212" s="4">
        <f t="shared" ref="CE212:CE229" si="18">IF(SUM(BX212:CD212)=0,0,SUMPRODUCT(BX212:CD212,$BX$178:$CD$178)/SUM(BX212:CD212))</f>
        <v>10.31359060578629</v>
      </c>
      <c r="CF212" s="4">
        <f t="shared" ref="CF212:CF229" si="19">IF(SUM(BX212:CD212)=0,0,SUMPRODUCT(BX212:CD212,$BX$177:$CD$177)/SUM(BX212:CD212))</f>
        <v>0.91180378330128564</v>
      </c>
      <c r="CG212" s="14">
        <f t="shared" ref="CG212:CG229" si="20">IF(SUM(BX212:CD212)=0,0,SUMPRODUCT(BX212:CD212,$BX$175:$CD$175)/SUM(BX212:CD212))</f>
        <v>4963.9287406627873</v>
      </c>
      <c r="CH212" s="6">
        <f t="shared" ref="CH212:CH229" si="21">IF(SUM(BX212:CD212)=0,0,SUMPRODUCT(BX212:CD212,$BX$176:$CD$176)/SUM(BX212:CD212))</f>
        <v>0.111554060976261</v>
      </c>
      <c r="CJ212" s="6"/>
    </row>
    <row r="213" spans="1:88">
      <c r="A213" t="s">
        <v>343</v>
      </c>
      <c r="B213" t="s">
        <v>314</v>
      </c>
      <c r="C213" s="5">
        <v>1.1184758364312319</v>
      </c>
      <c r="D213" s="15">
        <v>0.05</v>
      </c>
      <c r="E213">
        <v>1428</v>
      </c>
      <c r="F213" s="3">
        <f t="shared" si="17"/>
        <v>647.73067467409351</v>
      </c>
      <c r="G213">
        <v>0</v>
      </c>
      <c r="H213">
        <v>0</v>
      </c>
      <c r="I213">
        <v>0</v>
      </c>
      <c r="J213">
        <v>1</v>
      </c>
      <c r="K213">
        <v>0</v>
      </c>
      <c r="L213">
        <v>0</v>
      </c>
      <c r="M213">
        <v>0</v>
      </c>
      <c r="N213">
        <v>1</v>
      </c>
      <c r="O213">
        <v>0</v>
      </c>
      <c r="P213">
        <v>0</v>
      </c>
      <c r="Q213">
        <v>0</v>
      </c>
      <c r="R213" s="3">
        <f t="shared" si="12"/>
        <v>699.5</v>
      </c>
      <c r="S213" s="3">
        <f t="shared" si="13"/>
        <v>734.5</v>
      </c>
      <c r="T213">
        <v>44400956</v>
      </c>
      <c r="U213" s="6">
        <v>7.9399999999999998E-2</v>
      </c>
      <c r="V213" s="80">
        <v>2.0899999999999998E-3</v>
      </c>
      <c r="W213" s="11">
        <v>0.05</v>
      </c>
      <c r="X213" s="6">
        <f t="shared" si="15"/>
        <v>3.2575000000000003</v>
      </c>
      <c r="Y213">
        <v>5</v>
      </c>
      <c r="Z213" s="5">
        <v>4</v>
      </c>
      <c r="AA213" s="3">
        <v>178711</v>
      </c>
      <c r="AB213" s="14">
        <v>1070</v>
      </c>
      <c r="AC213" s="14">
        <v>56570</v>
      </c>
      <c r="AD213" s="3">
        <v>10360</v>
      </c>
      <c r="AE213" s="5">
        <v>1.277602523659306</v>
      </c>
      <c r="AF213" s="14">
        <v>78890</v>
      </c>
      <c r="AG213">
        <v>320</v>
      </c>
      <c r="AH213" s="14">
        <v>84660</v>
      </c>
      <c r="AI213">
        <v>80</v>
      </c>
      <c r="AJ213" s="14">
        <v>75050</v>
      </c>
      <c r="AK213">
        <v>280</v>
      </c>
      <c r="AL213" s="14">
        <v>46590</v>
      </c>
      <c r="AM213">
        <v>1040</v>
      </c>
      <c r="AO213" s="3">
        <v>0</v>
      </c>
      <c r="AP213" s="3">
        <v>0</v>
      </c>
      <c r="AQ213" s="3">
        <v>0</v>
      </c>
      <c r="AR213" s="3">
        <v>0</v>
      </c>
      <c r="AS213" s="3">
        <v>0</v>
      </c>
      <c r="AT213" s="3">
        <v>0</v>
      </c>
      <c r="AU213" s="3">
        <v>0</v>
      </c>
      <c r="AV213" s="3">
        <v>0</v>
      </c>
      <c r="AW213" s="3">
        <v>0</v>
      </c>
      <c r="AX213" s="3">
        <v>0</v>
      </c>
      <c r="AY213" s="3">
        <v>0</v>
      </c>
      <c r="AZ213" s="3">
        <v>0</v>
      </c>
      <c r="BA213" s="3">
        <v>0</v>
      </c>
      <c r="BB213" s="3">
        <v>0</v>
      </c>
      <c r="BC213" s="3">
        <v>0</v>
      </c>
      <c r="BD213" s="3">
        <v>0</v>
      </c>
      <c r="BE213" s="3">
        <v>0</v>
      </c>
      <c r="BF213" s="3">
        <v>0</v>
      </c>
      <c r="BG213" s="3">
        <v>0</v>
      </c>
      <c r="BH213" s="3">
        <v>0</v>
      </c>
      <c r="BI213" s="3">
        <v>0</v>
      </c>
      <c r="BJ213" s="3">
        <v>0</v>
      </c>
      <c r="BK213" s="3">
        <v>0</v>
      </c>
      <c r="BL213" s="3">
        <v>352</v>
      </c>
      <c r="BM213" s="3">
        <v>0</v>
      </c>
      <c r="BN213" s="3">
        <f t="shared" si="16"/>
        <v>56.7</v>
      </c>
      <c r="BO213">
        <v>572</v>
      </c>
      <c r="BP213" s="3">
        <v>4</v>
      </c>
      <c r="BQ213" s="1">
        <f t="shared" si="10"/>
        <v>6.993006993006993E-3</v>
      </c>
      <c r="BR213" s="6">
        <v>0.17699999999999999</v>
      </c>
      <c r="BS213" s="6">
        <v>3.7999999999999999E-2</v>
      </c>
      <c r="BT213" s="6">
        <v>1.6E-2</v>
      </c>
      <c r="BU213" s="6">
        <v>8.5000000000000006E-2</v>
      </c>
      <c r="BV213" s="6">
        <v>3.5999999999999997E-2</v>
      </c>
      <c r="BW213" s="6"/>
      <c r="BX213" s="3">
        <v>1552</v>
      </c>
      <c r="BY213" s="3">
        <v>501</v>
      </c>
      <c r="BZ213" s="3">
        <v>0</v>
      </c>
      <c r="CA213" s="3">
        <v>0</v>
      </c>
      <c r="CB213" s="3">
        <v>501</v>
      </c>
      <c r="CC213" s="3">
        <v>0</v>
      </c>
      <c r="CD213" s="3">
        <v>0</v>
      </c>
      <c r="CE213" s="4">
        <f t="shared" si="18"/>
        <v>11.858630528541878</v>
      </c>
      <c r="CF213" s="4">
        <f t="shared" si="19"/>
        <v>0.65309317145462886</v>
      </c>
      <c r="CG213" s="14">
        <f t="shared" si="20"/>
        <v>4794.4110379316635</v>
      </c>
      <c r="CH213" s="6">
        <f t="shared" si="21"/>
        <v>0.13447936110024461</v>
      </c>
      <c r="CJ213" s="6"/>
    </row>
    <row r="214" spans="1:88">
      <c r="A214" t="s">
        <v>344</v>
      </c>
      <c r="B214" t="s">
        <v>312</v>
      </c>
      <c r="C214" s="5">
        <v>0.96136170212765282</v>
      </c>
      <c r="D214" s="15">
        <v>5.7500000000000002E-2</v>
      </c>
      <c r="E214">
        <v>1162</v>
      </c>
      <c r="F214" s="3">
        <f t="shared" si="17"/>
        <v>527.07496076421342</v>
      </c>
      <c r="G214">
        <v>0</v>
      </c>
      <c r="H214">
        <v>0</v>
      </c>
      <c r="I214">
        <v>0</v>
      </c>
      <c r="J214">
        <v>0</v>
      </c>
      <c r="K214">
        <v>0</v>
      </c>
      <c r="L214">
        <v>0</v>
      </c>
      <c r="M214">
        <v>1</v>
      </c>
      <c r="N214">
        <v>0</v>
      </c>
      <c r="O214">
        <v>0</v>
      </c>
      <c r="P214">
        <v>0</v>
      </c>
      <c r="Q214">
        <v>0</v>
      </c>
      <c r="R214" s="3">
        <f t="shared" si="12"/>
        <v>522</v>
      </c>
      <c r="S214" s="3">
        <f t="shared" si="13"/>
        <v>578</v>
      </c>
      <c r="T214">
        <v>135810459</v>
      </c>
      <c r="U214" s="6">
        <v>6.5500000000000003E-2</v>
      </c>
      <c r="V214" s="80">
        <v>3.0800000000000003E-3</v>
      </c>
      <c r="W214" s="11">
        <v>0.06</v>
      </c>
      <c r="X214" s="6">
        <f t="shared" si="15"/>
        <v>3.2866</v>
      </c>
      <c r="Y214">
        <v>11.1</v>
      </c>
      <c r="Z214" s="5">
        <v>4.25</v>
      </c>
      <c r="AA214" s="3">
        <v>105829</v>
      </c>
      <c r="AB214" s="14">
        <v>3700</v>
      </c>
      <c r="AC214" s="14">
        <v>52870</v>
      </c>
      <c r="AD214" s="3">
        <v>91240</v>
      </c>
      <c r="AE214" s="5">
        <v>1.277602523659306</v>
      </c>
      <c r="AF214" s="14">
        <v>66020</v>
      </c>
      <c r="AG214">
        <v>2060</v>
      </c>
      <c r="AH214" s="14">
        <v>84190</v>
      </c>
      <c r="AI214">
        <v>170</v>
      </c>
      <c r="AJ214" s="14">
        <v>62840</v>
      </c>
      <c r="AK214">
        <v>330</v>
      </c>
      <c r="AL214" s="14">
        <v>44910</v>
      </c>
      <c r="AM214">
        <v>42030</v>
      </c>
      <c r="AO214" s="3">
        <v>0</v>
      </c>
      <c r="AP214" s="3">
        <v>0</v>
      </c>
      <c r="AQ214" s="3">
        <v>0</v>
      </c>
      <c r="AR214" s="3">
        <v>0</v>
      </c>
      <c r="AS214" s="3">
        <v>0</v>
      </c>
      <c r="AT214" s="3">
        <v>0</v>
      </c>
      <c r="AU214" s="3">
        <v>0</v>
      </c>
      <c r="AV214" s="3">
        <v>0</v>
      </c>
      <c r="AW214" s="3">
        <v>0</v>
      </c>
      <c r="AX214" s="3">
        <v>0</v>
      </c>
      <c r="AY214" s="3">
        <v>0</v>
      </c>
      <c r="AZ214" s="3">
        <v>0</v>
      </c>
      <c r="BA214" s="3">
        <v>226</v>
      </c>
      <c r="BB214" s="3">
        <v>211</v>
      </c>
      <c r="BC214" s="3">
        <v>0</v>
      </c>
      <c r="BD214" s="3">
        <v>160</v>
      </c>
      <c r="BE214" s="3">
        <v>237</v>
      </c>
      <c r="BF214" s="3">
        <v>0</v>
      </c>
      <c r="BG214" s="3">
        <v>0</v>
      </c>
      <c r="BH214" s="3">
        <v>0</v>
      </c>
      <c r="BI214" s="3">
        <v>0</v>
      </c>
      <c r="BJ214" s="3">
        <v>102</v>
      </c>
      <c r="BK214" s="3">
        <v>0</v>
      </c>
      <c r="BL214" s="3">
        <v>0</v>
      </c>
      <c r="BM214" s="3">
        <v>0</v>
      </c>
      <c r="BN214" s="3">
        <f t="shared" si="16"/>
        <v>56.679059829059824</v>
      </c>
      <c r="BO214">
        <v>1573</v>
      </c>
      <c r="BP214" s="3">
        <v>13</v>
      </c>
      <c r="BQ214" s="1">
        <f t="shared" si="10"/>
        <v>8.2644628099173556E-3</v>
      </c>
      <c r="BR214" s="6">
        <v>0.17699999999999999</v>
      </c>
      <c r="BS214" s="6">
        <v>3.7999999999999999E-2</v>
      </c>
      <c r="BT214" s="6">
        <v>1.6E-2</v>
      </c>
      <c r="BU214" s="6">
        <v>8.5000000000000006E-2</v>
      </c>
      <c r="BV214" s="6">
        <v>3.5999999999999997E-2</v>
      </c>
      <c r="BW214" s="6"/>
      <c r="BX214" s="3">
        <v>0</v>
      </c>
      <c r="BY214" s="3">
        <v>30</v>
      </c>
      <c r="BZ214" s="3">
        <v>1404</v>
      </c>
      <c r="CA214" s="3">
        <v>4</v>
      </c>
      <c r="CB214" s="3">
        <v>30</v>
      </c>
      <c r="CC214" s="3">
        <v>1632</v>
      </c>
      <c r="CD214" s="3">
        <v>0</v>
      </c>
      <c r="CE214" s="4">
        <f t="shared" si="18"/>
        <v>10.328381368155995</v>
      </c>
      <c r="CF214" s="4">
        <f t="shared" si="19"/>
        <v>0.90754561098607922</v>
      </c>
      <c r="CG214" s="14">
        <f t="shared" si="20"/>
        <v>4938.5020493249331</v>
      </c>
      <c r="CH214" s="6">
        <f t="shared" si="21"/>
        <v>0.11069150176420504</v>
      </c>
      <c r="CJ214" s="6"/>
    </row>
    <row r="215" spans="1:88">
      <c r="A215" t="s">
        <v>345</v>
      </c>
      <c r="B215" t="s">
        <v>313</v>
      </c>
      <c r="C215" s="5">
        <v>0.9094620253164537</v>
      </c>
      <c r="D215" s="15">
        <v>4.4999999999999998E-2</v>
      </c>
      <c r="E215">
        <v>692</v>
      </c>
      <c r="F215" s="3">
        <f t="shared" si="17"/>
        <v>313.88629332946272</v>
      </c>
      <c r="G215">
        <v>0</v>
      </c>
      <c r="H215">
        <v>0</v>
      </c>
      <c r="I215">
        <v>0</v>
      </c>
      <c r="J215">
        <v>0</v>
      </c>
      <c r="K215">
        <v>0</v>
      </c>
      <c r="L215">
        <v>0</v>
      </c>
      <c r="M215">
        <v>0</v>
      </c>
      <c r="N215">
        <v>1</v>
      </c>
      <c r="O215">
        <v>0</v>
      </c>
      <c r="P215">
        <v>0</v>
      </c>
      <c r="Q215">
        <v>0</v>
      </c>
      <c r="R215" s="3">
        <f t="shared" si="12"/>
        <v>672</v>
      </c>
      <c r="S215" s="3">
        <f t="shared" si="13"/>
        <v>703</v>
      </c>
      <c r="T215">
        <v>84634922</v>
      </c>
      <c r="U215" s="6">
        <v>5.0700000000000002E-2</v>
      </c>
      <c r="V215" s="80">
        <v>3.7000000000000002E-3</v>
      </c>
      <c r="W215" s="11">
        <v>3.4000000000000002E-2</v>
      </c>
      <c r="X215" s="6">
        <f t="shared" si="15"/>
        <v>3.0587999999999997</v>
      </c>
      <c r="Y215">
        <v>15.9</v>
      </c>
      <c r="Z215" s="5">
        <v>5</v>
      </c>
      <c r="AA215" s="3">
        <v>177660</v>
      </c>
      <c r="AB215" s="14">
        <v>1950</v>
      </c>
      <c r="AC215" s="14">
        <v>49720</v>
      </c>
      <c r="AD215" s="3">
        <v>25090</v>
      </c>
      <c r="AE215" s="5">
        <v>1.3228476821192052</v>
      </c>
      <c r="AF215" s="14">
        <v>56580</v>
      </c>
      <c r="AG215">
        <v>550</v>
      </c>
      <c r="AH215" s="14">
        <v>76300</v>
      </c>
      <c r="AI215">
        <v>40</v>
      </c>
      <c r="AJ215" s="14">
        <v>69300</v>
      </c>
      <c r="AK215">
        <v>320</v>
      </c>
      <c r="AL215" s="14">
        <v>42330</v>
      </c>
      <c r="AM215">
        <v>11350</v>
      </c>
      <c r="AO215" s="3">
        <v>0</v>
      </c>
      <c r="AP215" s="3">
        <v>0</v>
      </c>
      <c r="AQ215" s="3">
        <v>0</v>
      </c>
      <c r="AR215" s="3">
        <v>0</v>
      </c>
      <c r="AS215" s="3">
        <v>0</v>
      </c>
      <c r="AT215" s="3">
        <v>0</v>
      </c>
      <c r="AU215" s="3">
        <v>0</v>
      </c>
      <c r="AV215" s="3">
        <v>236</v>
      </c>
      <c r="AW215" s="3">
        <v>330</v>
      </c>
      <c r="AX215" s="3">
        <v>0</v>
      </c>
      <c r="AY215" s="3">
        <v>0</v>
      </c>
      <c r="AZ215" s="3">
        <v>0</v>
      </c>
      <c r="BA215" s="3">
        <v>0</v>
      </c>
      <c r="BB215" s="3">
        <v>0</v>
      </c>
      <c r="BC215" s="3">
        <v>0</v>
      </c>
      <c r="BD215" s="3">
        <v>0</v>
      </c>
      <c r="BE215" s="3">
        <v>0</v>
      </c>
      <c r="BF215" s="3">
        <v>0</v>
      </c>
      <c r="BG215" s="3">
        <v>0</v>
      </c>
      <c r="BH215" s="3">
        <v>0</v>
      </c>
      <c r="BI215" s="3">
        <v>0</v>
      </c>
      <c r="BJ215" s="3">
        <v>0</v>
      </c>
      <c r="BK215" s="3">
        <v>0</v>
      </c>
      <c r="BL215" s="3">
        <v>0</v>
      </c>
      <c r="BM215" s="3">
        <v>0</v>
      </c>
      <c r="BN215" s="3">
        <f t="shared" si="16"/>
        <v>57.849469964664308</v>
      </c>
      <c r="BO215">
        <v>930</v>
      </c>
      <c r="BP215" s="3">
        <v>7</v>
      </c>
      <c r="BQ215" s="1">
        <f t="shared" si="10"/>
        <v>7.526881720430108E-3</v>
      </c>
      <c r="BR215" s="6">
        <v>0.17</v>
      </c>
      <c r="BS215" s="6">
        <v>4.4999999999999998E-2</v>
      </c>
      <c r="BT215" s="6">
        <v>1.4999999999999999E-2</v>
      </c>
      <c r="BU215" s="6">
        <v>9.1999999999999998E-2</v>
      </c>
      <c r="BV215" s="6">
        <v>0.03</v>
      </c>
      <c r="BW215" s="6"/>
      <c r="BX215" s="3">
        <v>966</v>
      </c>
      <c r="BY215" s="3">
        <v>152</v>
      </c>
      <c r="BZ215" s="3">
        <v>0</v>
      </c>
      <c r="CA215" s="3">
        <v>0</v>
      </c>
      <c r="CB215" s="3">
        <v>152</v>
      </c>
      <c r="CC215" s="3">
        <v>0</v>
      </c>
      <c r="CD215" s="3">
        <v>894</v>
      </c>
      <c r="CE215" s="4">
        <f t="shared" si="18"/>
        <v>11.695086913200333</v>
      </c>
      <c r="CF215" s="4">
        <f t="shared" si="19"/>
        <v>0.59922152954968733</v>
      </c>
      <c r="CG215" s="14">
        <f t="shared" si="20"/>
        <v>4911.6912333312903</v>
      </c>
      <c r="CH215" s="6">
        <f t="shared" si="21"/>
        <v>0.18485770062226314</v>
      </c>
      <c r="CJ215" s="6"/>
    </row>
    <row r="216" spans="1:88">
      <c r="A216" t="s">
        <v>346</v>
      </c>
      <c r="B216" t="s">
        <v>315</v>
      </c>
      <c r="C216" s="5">
        <v>1.1682500000000033</v>
      </c>
      <c r="D216" s="15">
        <v>0</v>
      </c>
      <c r="E216">
        <v>282</v>
      </c>
      <c r="F216" s="3">
        <f t="shared" si="17"/>
        <v>127.9132004608504</v>
      </c>
      <c r="G216">
        <v>0</v>
      </c>
      <c r="H216">
        <v>0</v>
      </c>
      <c r="I216">
        <v>0</v>
      </c>
      <c r="J216">
        <v>0</v>
      </c>
      <c r="K216">
        <v>0</v>
      </c>
      <c r="L216">
        <v>1</v>
      </c>
      <c r="M216">
        <v>0</v>
      </c>
      <c r="N216">
        <v>0</v>
      </c>
      <c r="O216">
        <v>0</v>
      </c>
      <c r="P216">
        <v>0</v>
      </c>
      <c r="Q216">
        <v>0</v>
      </c>
      <c r="R216" s="3">
        <f t="shared" si="12"/>
        <v>418</v>
      </c>
      <c r="S216" s="3">
        <f t="shared" si="13"/>
        <v>440</v>
      </c>
      <c r="T216">
        <v>61317617</v>
      </c>
      <c r="U216" s="6">
        <v>5.8600000000000006E-2</v>
      </c>
      <c r="V216" s="80">
        <v>4.6800000000000001E-3</v>
      </c>
      <c r="W216" s="11">
        <v>5.2999999999999999E-2</v>
      </c>
      <c r="X216" s="6">
        <f t="shared" si="15"/>
        <v>3.6216999999999997</v>
      </c>
      <c r="Y216">
        <v>9</v>
      </c>
      <c r="Z216" s="5">
        <v>4.5</v>
      </c>
      <c r="AA216" s="3">
        <v>248608</v>
      </c>
      <c r="AB216" s="14">
        <v>950</v>
      </c>
      <c r="AC216" s="14">
        <v>56150</v>
      </c>
      <c r="AD216" s="3">
        <v>22690</v>
      </c>
      <c r="AE216" s="5">
        <v>1.2756302521008405</v>
      </c>
      <c r="AF216" s="14">
        <v>89190</v>
      </c>
      <c r="AG216">
        <v>520</v>
      </c>
      <c r="AH216" s="10">
        <v>61752.857142857145</v>
      </c>
      <c r="AI216" s="8">
        <v>0</v>
      </c>
      <c r="AJ216" s="14">
        <v>48690</v>
      </c>
      <c r="AK216">
        <v>150</v>
      </c>
      <c r="AL216" s="14">
        <v>45880</v>
      </c>
      <c r="AM216">
        <v>7760</v>
      </c>
      <c r="AO216" s="3">
        <v>308</v>
      </c>
      <c r="AP216" s="3">
        <v>0</v>
      </c>
      <c r="AQ216" s="3">
        <v>0</v>
      </c>
      <c r="AR216" s="3">
        <v>0</v>
      </c>
      <c r="AS216" s="3">
        <v>0</v>
      </c>
      <c r="AT216" s="3">
        <v>0</v>
      </c>
      <c r="AU216" s="3">
        <v>0</v>
      </c>
      <c r="AV216" s="3">
        <v>0</v>
      </c>
      <c r="AW216" s="3">
        <v>0</v>
      </c>
      <c r="AX216" s="3">
        <v>0</v>
      </c>
      <c r="AY216" s="3">
        <v>0</v>
      </c>
      <c r="AZ216" s="3">
        <v>0</v>
      </c>
      <c r="BA216" s="3">
        <v>0</v>
      </c>
      <c r="BB216" s="3">
        <v>0</v>
      </c>
      <c r="BC216" s="3">
        <v>0</v>
      </c>
      <c r="BD216" s="3">
        <v>0</v>
      </c>
      <c r="BE216" s="3">
        <v>0</v>
      </c>
      <c r="BF216" s="3">
        <v>0</v>
      </c>
      <c r="BG216" s="3">
        <v>375</v>
      </c>
      <c r="BH216" s="3">
        <v>0</v>
      </c>
      <c r="BI216" s="3">
        <v>0</v>
      </c>
      <c r="BJ216" s="3">
        <v>0</v>
      </c>
      <c r="BK216" s="3">
        <v>0</v>
      </c>
      <c r="BL216" s="3">
        <v>0</v>
      </c>
      <c r="BM216" s="3">
        <v>0</v>
      </c>
      <c r="BN216" s="3">
        <f t="shared" si="16"/>
        <v>53.568667642752565</v>
      </c>
      <c r="BO216">
        <v>727</v>
      </c>
      <c r="BP216" s="3">
        <v>11</v>
      </c>
      <c r="BQ216" s="1">
        <f t="shared" si="10"/>
        <v>1.5130674002751032E-2</v>
      </c>
      <c r="BR216" s="6">
        <v>0.156</v>
      </c>
      <c r="BS216" s="6">
        <v>4.2000000000000003E-2</v>
      </c>
      <c r="BT216" s="6">
        <v>1.0999999999999999E-2</v>
      </c>
      <c r="BU216" s="6">
        <v>7.5999999999999998E-2</v>
      </c>
      <c r="BV216" s="6">
        <v>2.3E-2</v>
      </c>
      <c r="BW216" s="6"/>
      <c r="BX216" s="3">
        <v>230</v>
      </c>
      <c r="BY216" s="3">
        <v>0</v>
      </c>
      <c r="BZ216" s="3">
        <v>0</v>
      </c>
      <c r="CA216" s="3">
        <v>0</v>
      </c>
      <c r="CB216" s="3">
        <v>0</v>
      </c>
      <c r="CC216" s="3">
        <v>0</v>
      </c>
      <c r="CD216" s="3">
        <v>881</v>
      </c>
      <c r="CE216" s="4">
        <f t="shared" si="18"/>
        <v>11.570939907443469</v>
      </c>
      <c r="CF216" s="4">
        <f t="shared" si="19"/>
        <v>0.55492796634132557</v>
      </c>
      <c r="CG216" s="14">
        <f t="shared" si="20"/>
        <v>4919.9655690008321</v>
      </c>
      <c r="CH216" s="6">
        <f t="shared" si="21"/>
        <v>0.22484286105054893</v>
      </c>
      <c r="CJ216" s="6"/>
    </row>
    <row r="217" spans="1:88">
      <c r="A217" t="s">
        <v>347</v>
      </c>
      <c r="B217" t="s">
        <v>312</v>
      </c>
      <c r="C217" s="5">
        <v>1.0899065420560843</v>
      </c>
      <c r="D217" s="15">
        <v>0.06</v>
      </c>
      <c r="E217">
        <v>713</v>
      </c>
      <c r="F217" s="3">
        <f t="shared" si="17"/>
        <v>323.41174442761115</v>
      </c>
      <c r="G217">
        <v>0</v>
      </c>
      <c r="H217">
        <v>0</v>
      </c>
      <c r="I217">
        <v>0</v>
      </c>
      <c r="J217">
        <v>0</v>
      </c>
      <c r="K217">
        <v>0</v>
      </c>
      <c r="L217">
        <v>0</v>
      </c>
      <c r="M217">
        <v>1</v>
      </c>
      <c r="N217">
        <v>0</v>
      </c>
      <c r="O217">
        <v>0</v>
      </c>
      <c r="P217">
        <v>0</v>
      </c>
      <c r="Q217">
        <v>0</v>
      </c>
      <c r="R217" s="3">
        <f t="shared" si="12"/>
        <v>522</v>
      </c>
      <c r="S217" s="3">
        <f t="shared" si="13"/>
        <v>578</v>
      </c>
      <c r="T217">
        <v>239261130</v>
      </c>
      <c r="U217" s="6">
        <v>6.4100000000000004E-2</v>
      </c>
      <c r="V217" s="80">
        <v>2.82E-3</v>
      </c>
      <c r="W217" s="11">
        <v>8.5999999999999993E-2</v>
      </c>
      <c r="X217" s="6">
        <f t="shared" si="15"/>
        <v>3.2866</v>
      </c>
      <c r="Y217">
        <v>10</v>
      </c>
      <c r="Z217" s="5">
        <v>4</v>
      </c>
      <c r="AA217" s="3">
        <v>115883</v>
      </c>
      <c r="AB217" s="14">
        <v>3880</v>
      </c>
      <c r="AC217" s="14">
        <v>53670</v>
      </c>
      <c r="AD217" s="3">
        <v>88230</v>
      </c>
      <c r="AE217" s="5">
        <v>1.2645259938837918</v>
      </c>
      <c r="AF217" s="14">
        <v>58920</v>
      </c>
      <c r="AG217">
        <v>1940</v>
      </c>
      <c r="AH217" s="14">
        <v>64120</v>
      </c>
      <c r="AI217">
        <v>270</v>
      </c>
      <c r="AJ217" s="14">
        <v>71200</v>
      </c>
      <c r="AK217">
        <v>100</v>
      </c>
      <c r="AL217" s="14">
        <v>43630</v>
      </c>
      <c r="AM217">
        <v>40700</v>
      </c>
      <c r="AO217" s="3">
        <v>0</v>
      </c>
      <c r="AP217" s="3">
        <v>0</v>
      </c>
      <c r="AQ217" s="3">
        <v>0</v>
      </c>
      <c r="AR217" s="3">
        <v>0</v>
      </c>
      <c r="AS217" s="3">
        <v>0</v>
      </c>
      <c r="AT217" s="3">
        <v>0</v>
      </c>
      <c r="AU217" s="3">
        <v>0</v>
      </c>
      <c r="AV217" s="3">
        <v>0</v>
      </c>
      <c r="AW217" s="3">
        <v>0</v>
      </c>
      <c r="AX217" s="3">
        <v>0</v>
      </c>
      <c r="AY217" s="3">
        <v>0</v>
      </c>
      <c r="AZ217" s="3">
        <v>0</v>
      </c>
      <c r="BA217" s="3">
        <v>81</v>
      </c>
      <c r="BB217" s="3">
        <v>0</v>
      </c>
      <c r="BC217" s="3">
        <v>0</v>
      </c>
      <c r="BD217" s="3">
        <v>0</v>
      </c>
      <c r="BE217" s="3">
        <v>311</v>
      </c>
      <c r="BF217" s="3">
        <v>233</v>
      </c>
      <c r="BG217" s="3">
        <v>0</v>
      </c>
      <c r="BH217" s="3">
        <v>0</v>
      </c>
      <c r="BI217" s="3">
        <v>0</v>
      </c>
      <c r="BJ217" s="3">
        <v>46</v>
      </c>
      <c r="BK217" s="3">
        <v>0</v>
      </c>
      <c r="BL217" s="3">
        <v>0</v>
      </c>
      <c r="BM217" s="3">
        <v>51</v>
      </c>
      <c r="BN217" s="3">
        <f t="shared" si="16"/>
        <v>57.09986149584487</v>
      </c>
      <c r="BO217">
        <v>1758</v>
      </c>
      <c r="BP217" s="3">
        <v>17</v>
      </c>
      <c r="BQ217" s="1">
        <f t="shared" si="10"/>
        <v>9.6700796359499436E-3</v>
      </c>
      <c r="BR217" s="6">
        <v>0.17499999999999999</v>
      </c>
      <c r="BS217" s="6">
        <v>0.04</v>
      </c>
      <c r="BT217" s="6">
        <v>1.7999999999999999E-2</v>
      </c>
      <c r="BU217" s="6">
        <v>8.4000000000000005E-2</v>
      </c>
      <c r="BV217" s="6">
        <v>4.8000000000000001E-2</v>
      </c>
      <c r="BW217" s="6"/>
      <c r="BX217" s="3">
        <v>0</v>
      </c>
      <c r="BY217" s="3">
        <v>0</v>
      </c>
      <c r="BZ217" s="3">
        <v>1058</v>
      </c>
      <c r="CA217" s="3">
        <v>156</v>
      </c>
      <c r="CB217" s="3">
        <v>0</v>
      </c>
      <c r="CC217" s="3">
        <v>2402</v>
      </c>
      <c r="CD217" s="3">
        <v>0</v>
      </c>
      <c r="CE217" s="4">
        <f t="shared" si="18"/>
        <v>10.124135399772664</v>
      </c>
      <c r="CF217" s="4">
        <f t="shared" si="19"/>
        <v>0.90418828613159896</v>
      </c>
      <c r="CG217" s="14">
        <f t="shared" si="20"/>
        <v>4771.9609698525155</v>
      </c>
      <c r="CH217" s="6">
        <f t="shared" si="21"/>
        <v>0.10492802174370512</v>
      </c>
      <c r="CJ217" s="6"/>
    </row>
    <row r="218" spans="1:88">
      <c r="A218" t="s">
        <v>348</v>
      </c>
      <c r="B218" t="s">
        <v>312</v>
      </c>
      <c r="C218" s="5">
        <v>1.1379220779220784</v>
      </c>
      <c r="D218" s="15">
        <v>7.0000000000000007E-2</v>
      </c>
      <c r="E218">
        <v>830</v>
      </c>
      <c r="F218" s="3">
        <f t="shared" si="17"/>
        <v>376.48211483158099</v>
      </c>
      <c r="G218">
        <v>0</v>
      </c>
      <c r="H218">
        <v>0</v>
      </c>
      <c r="I218">
        <v>1</v>
      </c>
      <c r="J218">
        <v>0</v>
      </c>
      <c r="K218">
        <v>0</v>
      </c>
      <c r="L218">
        <v>0</v>
      </c>
      <c r="M218">
        <v>0</v>
      </c>
      <c r="N218">
        <v>0</v>
      </c>
      <c r="O218">
        <v>0</v>
      </c>
      <c r="P218">
        <v>0</v>
      </c>
      <c r="Q218">
        <v>0</v>
      </c>
      <c r="R218" s="3">
        <f t="shared" si="12"/>
        <v>376</v>
      </c>
      <c r="S218" s="3">
        <f t="shared" si="13"/>
        <v>400</v>
      </c>
      <c r="T218">
        <v>7819451</v>
      </c>
      <c r="U218" s="6">
        <v>0.15590000000000001</v>
      </c>
      <c r="V218" s="80">
        <v>2.82E-3</v>
      </c>
      <c r="W218" s="11">
        <v>8.5999999999999993E-2</v>
      </c>
      <c r="X218" s="6">
        <f t="shared" si="15"/>
        <v>3.2866</v>
      </c>
      <c r="Y218">
        <v>10.8</v>
      </c>
      <c r="Z218" s="5">
        <v>4.25</v>
      </c>
      <c r="AA218" s="3">
        <v>2678</v>
      </c>
      <c r="AB218" s="14">
        <v>8290</v>
      </c>
      <c r="AC218" s="14">
        <v>57560</v>
      </c>
      <c r="AD218" s="3">
        <v>3140</v>
      </c>
      <c r="AE218" s="5">
        <v>1.2645259938837918</v>
      </c>
      <c r="AF218" s="10">
        <v>69661.991404011467</v>
      </c>
      <c r="AG218" s="8">
        <v>0</v>
      </c>
      <c r="AH218" s="10">
        <v>55982.7</v>
      </c>
      <c r="AI218" s="8">
        <v>0</v>
      </c>
      <c r="AJ218" s="10">
        <v>50229.389671361503</v>
      </c>
      <c r="AK218" s="8">
        <v>0</v>
      </c>
      <c r="AL218" s="14">
        <v>48100</v>
      </c>
      <c r="AM218">
        <v>390</v>
      </c>
      <c r="AN218" s="8"/>
      <c r="AO218" s="3">
        <v>0</v>
      </c>
      <c r="AP218" s="3">
        <v>0</v>
      </c>
      <c r="AQ218" s="3">
        <v>0</v>
      </c>
      <c r="AR218" s="3">
        <v>0</v>
      </c>
      <c r="AS218" s="3">
        <v>0</v>
      </c>
      <c r="AT218" s="3">
        <v>0</v>
      </c>
      <c r="AU218" s="3">
        <v>0</v>
      </c>
      <c r="AV218" s="3">
        <v>0</v>
      </c>
      <c r="AW218" s="3">
        <v>0</v>
      </c>
      <c r="AX218" s="3">
        <v>0</v>
      </c>
      <c r="AY218" s="3">
        <v>0</v>
      </c>
      <c r="AZ218" s="3">
        <v>0</v>
      </c>
      <c r="BA218" s="3">
        <v>0</v>
      </c>
      <c r="BB218" s="3">
        <v>0</v>
      </c>
      <c r="BC218" s="3">
        <v>0</v>
      </c>
      <c r="BD218" s="3">
        <v>0</v>
      </c>
      <c r="BE218" s="3">
        <v>0</v>
      </c>
      <c r="BF218" s="3">
        <v>0</v>
      </c>
      <c r="BG218" s="3">
        <v>0</v>
      </c>
      <c r="BH218" s="3">
        <v>0</v>
      </c>
      <c r="BI218" s="3">
        <v>0</v>
      </c>
      <c r="BJ218" s="3">
        <v>0</v>
      </c>
      <c r="BK218" s="3">
        <v>0</v>
      </c>
      <c r="BL218" s="3">
        <v>0</v>
      </c>
      <c r="BM218" s="3">
        <v>42</v>
      </c>
      <c r="BN218" s="3">
        <f t="shared" si="16"/>
        <v>56.2</v>
      </c>
      <c r="BO218">
        <v>70</v>
      </c>
      <c r="BP218" s="3">
        <v>2</v>
      </c>
      <c r="BQ218" s="1">
        <f t="shared" si="10"/>
        <v>2.8571428571428571E-2</v>
      </c>
      <c r="BR218" s="6">
        <v>0.17499999999999999</v>
      </c>
      <c r="BS218" s="6">
        <v>0.04</v>
      </c>
      <c r="BT218" s="6">
        <v>1.7999999999999999E-2</v>
      </c>
      <c r="BU218" s="6">
        <v>8.4000000000000005E-2</v>
      </c>
      <c r="BV218" s="6">
        <v>4.8000000000000001E-2</v>
      </c>
      <c r="BW218" s="6"/>
      <c r="BX218" s="3">
        <v>0</v>
      </c>
      <c r="BY218" s="3">
        <v>0</v>
      </c>
      <c r="BZ218" s="3">
        <v>0</v>
      </c>
      <c r="CA218" s="3">
        <v>0</v>
      </c>
      <c r="CB218" s="3">
        <v>0</v>
      </c>
      <c r="CC218" s="3">
        <v>0</v>
      </c>
      <c r="CD218" s="3">
        <v>0</v>
      </c>
      <c r="CE218" s="4">
        <f t="shared" si="18"/>
        <v>0</v>
      </c>
      <c r="CF218" s="4">
        <f t="shared" si="19"/>
        <v>0</v>
      </c>
      <c r="CG218" s="14">
        <f t="shared" si="20"/>
        <v>0</v>
      </c>
      <c r="CH218" s="6">
        <f t="shared" si="21"/>
        <v>0</v>
      </c>
      <c r="CJ218" s="6"/>
    </row>
    <row r="219" spans="1:88">
      <c r="A219" t="s">
        <v>349</v>
      </c>
      <c r="B219" t="s">
        <v>312</v>
      </c>
      <c r="C219" s="5">
        <v>0.92643122676579615</v>
      </c>
      <c r="D219" s="15">
        <v>0.06</v>
      </c>
      <c r="E219">
        <v>554</v>
      </c>
      <c r="F219" s="3">
        <f t="shared" si="17"/>
        <v>251.29047182734442</v>
      </c>
      <c r="G219">
        <v>0</v>
      </c>
      <c r="H219">
        <v>0</v>
      </c>
      <c r="I219">
        <v>0</v>
      </c>
      <c r="J219">
        <v>0</v>
      </c>
      <c r="K219">
        <v>0</v>
      </c>
      <c r="L219">
        <v>0</v>
      </c>
      <c r="M219">
        <v>0</v>
      </c>
      <c r="N219">
        <v>0</v>
      </c>
      <c r="O219">
        <v>1</v>
      </c>
      <c r="P219">
        <v>0</v>
      </c>
      <c r="Q219">
        <v>0</v>
      </c>
      <c r="R219" s="3">
        <f t="shared" si="12"/>
        <v>548</v>
      </c>
      <c r="S219" s="3">
        <f t="shared" si="13"/>
        <v>583</v>
      </c>
      <c r="T219">
        <v>98709501</v>
      </c>
      <c r="U219" s="6">
        <v>6.1100000000000002E-2</v>
      </c>
      <c r="V219" s="80">
        <v>3.0800000000000003E-3</v>
      </c>
      <c r="W219" s="11">
        <v>0.04</v>
      </c>
      <c r="X219" s="6">
        <f t="shared" si="15"/>
        <v>3.2866</v>
      </c>
      <c r="Y219">
        <v>17.7</v>
      </c>
      <c r="Z219" s="5">
        <v>5</v>
      </c>
      <c r="AA219" s="3">
        <v>77857</v>
      </c>
      <c r="AB219" s="14">
        <v>3700</v>
      </c>
      <c r="AC219" s="14">
        <v>50020</v>
      </c>
      <c r="AD219" s="3">
        <v>31370</v>
      </c>
      <c r="AE219" s="5">
        <v>1.3194221508828252</v>
      </c>
      <c r="AF219" s="14">
        <v>55360</v>
      </c>
      <c r="AG219">
        <v>770</v>
      </c>
      <c r="AH219" s="10">
        <v>55982.7</v>
      </c>
      <c r="AI219" s="8">
        <v>0</v>
      </c>
      <c r="AJ219" s="10">
        <v>50229.389671361503</v>
      </c>
      <c r="AK219" s="8">
        <v>0</v>
      </c>
      <c r="AL219" s="14">
        <v>39560</v>
      </c>
      <c r="AM219">
        <v>11850</v>
      </c>
      <c r="AN219" s="8"/>
      <c r="AO219" s="3">
        <v>0</v>
      </c>
      <c r="AP219" s="3">
        <v>0</v>
      </c>
      <c r="AQ219" s="3">
        <v>0</v>
      </c>
      <c r="AR219" s="3">
        <v>142</v>
      </c>
      <c r="AS219" s="3">
        <v>0</v>
      </c>
      <c r="AT219" s="3">
        <v>0</v>
      </c>
      <c r="AU219" s="3">
        <v>221</v>
      </c>
      <c r="AV219" s="3">
        <v>0</v>
      </c>
      <c r="AW219" s="3">
        <v>0</v>
      </c>
      <c r="AX219" s="3">
        <v>0</v>
      </c>
      <c r="AY219" s="3">
        <v>0</v>
      </c>
      <c r="AZ219" s="3">
        <v>0</v>
      </c>
      <c r="BA219" s="3">
        <v>0</v>
      </c>
      <c r="BB219" s="3">
        <v>0</v>
      </c>
      <c r="BC219" s="3">
        <v>0</v>
      </c>
      <c r="BD219" s="3">
        <v>91</v>
      </c>
      <c r="BE219" s="3">
        <v>0</v>
      </c>
      <c r="BF219" s="3">
        <v>0</v>
      </c>
      <c r="BG219" s="3">
        <v>0</v>
      </c>
      <c r="BH219" s="3">
        <v>106</v>
      </c>
      <c r="BI219" s="3">
        <v>0</v>
      </c>
      <c r="BJ219" s="3">
        <v>0</v>
      </c>
      <c r="BK219" s="3">
        <v>0</v>
      </c>
      <c r="BL219" s="3">
        <v>0</v>
      </c>
      <c r="BM219" s="3">
        <v>199</v>
      </c>
      <c r="BN219" s="3">
        <f t="shared" si="16"/>
        <v>56.007114624505931</v>
      </c>
      <c r="BO219">
        <v>829</v>
      </c>
      <c r="BP219" s="3">
        <v>9</v>
      </c>
      <c r="BQ219" s="1">
        <f t="shared" si="10"/>
        <v>1.0856453558504222E-2</v>
      </c>
      <c r="BR219" s="6">
        <v>0.17399999999999999</v>
      </c>
      <c r="BS219" s="6">
        <v>4.2999999999999997E-2</v>
      </c>
      <c r="BT219" s="6">
        <v>1.7000000000000001E-2</v>
      </c>
      <c r="BU219" s="6">
        <v>9.4E-2</v>
      </c>
      <c r="BV219" s="6">
        <v>2.8000000000000001E-2</v>
      </c>
      <c r="BW219" s="6"/>
      <c r="BX219" s="3">
        <v>0</v>
      </c>
      <c r="BY219" s="3">
        <v>0</v>
      </c>
      <c r="BZ219" s="3">
        <v>1307</v>
      </c>
      <c r="CA219" s="3">
        <v>0</v>
      </c>
      <c r="CB219" s="3">
        <v>0</v>
      </c>
      <c r="CC219" s="3">
        <v>762</v>
      </c>
      <c r="CD219" s="3">
        <v>0</v>
      </c>
      <c r="CE219" s="4">
        <f t="shared" si="18"/>
        <v>10.504071306769101</v>
      </c>
      <c r="CF219" s="4">
        <f t="shared" si="19"/>
        <v>0.90734668751807013</v>
      </c>
      <c r="CG219" s="14">
        <f t="shared" si="20"/>
        <v>5016.5902099103232</v>
      </c>
      <c r="CH219" s="6">
        <f t="shared" si="21"/>
        <v>0.11585705176690894</v>
      </c>
      <c r="CJ219" s="6"/>
    </row>
    <row r="220" spans="1:88">
      <c r="A220" t="s">
        <v>350</v>
      </c>
      <c r="B220" t="s">
        <v>314</v>
      </c>
      <c r="C220" s="5">
        <v>0.98242857142857154</v>
      </c>
      <c r="D220" s="15">
        <v>0.04</v>
      </c>
      <c r="E220">
        <v>347</v>
      </c>
      <c r="F220" s="3">
        <f t="shared" si="17"/>
        <v>157.39673957416699</v>
      </c>
      <c r="G220">
        <v>0</v>
      </c>
      <c r="H220">
        <v>0</v>
      </c>
      <c r="I220">
        <v>0</v>
      </c>
      <c r="J220">
        <v>1</v>
      </c>
      <c r="K220">
        <v>0</v>
      </c>
      <c r="L220">
        <v>0</v>
      </c>
      <c r="M220">
        <v>0</v>
      </c>
      <c r="N220">
        <v>1</v>
      </c>
      <c r="O220">
        <v>0</v>
      </c>
      <c r="P220">
        <v>0</v>
      </c>
      <c r="Q220">
        <v>0</v>
      </c>
      <c r="R220" s="3">
        <f t="shared" si="12"/>
        <v>699.5</v>
      </c>
      <c r="S220" s="3">
        <f t="shared" si="13"/>
        <v>734.5</v>
      </c>
      <c r="T220">
        <v>17900461</v>
      </c>
      <c r="U220" s="6">
        <v>7.8100000000000003E-2</v>
      </c>
      <c r="V220" s="80">
        <v>2.0899999999999998E-3</v>
      </c>
      <c r="W220" s="11">
        <v>0.05</v>
      </c>
      <c r="X220" s="6">
        <f t="shared" si="15"/>
        <v>3.2575000000000003</v>
      </c>
      <c r="Y220">
        <v>7.6</v>
      </c>
      <c r="Z220" s="5">
        <v>4.25</v>
      </c>
      <c r="AA220" s="3">
        <v>196350</v>
      </c>
      <c r="AB220" s="14">
        <v>1340</v>
      </c>
      <c r="AC220" s="14">
        <v>52070</v>
      </c>
      <c r="AD220" s="3">
        <v>6220</v>
      </c>
      <c r="AE220" s="5">
        <v>1.277602523659306</v>
      </c>
      <c r="AF220" s="14">
        <v>72060</v>
      </c>
      <c r="AG220">
        <v>100</v>
      </c>
      <c r="AH220" s="10">
        <v>74961.666666666672</v>
      </c>
      <c r="AI220" s="8">
        <v>0</v>
      </c>
      <c r="AJ220" s="14">
        <v>62970</v>
      </c>
      <c r="AK220">
        <v>90</v>
      </c>
      <c r="AL220" s="14">
        <v>41740</v>
      </c>
      <c r="AM220">
        <v>1750</v>
      </c>
      <c r="AO220" s="3">
        <v>0</v>
      </c>
      <c r="AP220" s="3">
        <v>0</v>
      </c>
      <c r="AQ220" s="3">
        <v>0</v>
      </c>
      <c r="AR220" s="3">
        <v>0</v>
      </c>
      <c r="AS220" s="3">
        <v>0</v>
      </c>
      <c r="AT220" s="3">
        <v>0</v>
      </c>
      <c r="AU220" s="3">
        <v>0</v>
      </c>
      <c r="AV220" s="3">
        <v>0</v>
      </c>
      <c r="AW220" s="3">
        <v>0</v>
      </c>
      <c r="AX220" s="3">
        <v>0</v>
      </c>
      <c r="AY220" s="3">
        <v>0</v>
      </c>
      <c r="AZ220" s="3">
        <v>0</v>
      </c>
      <c r="BA220" s="3">
        <v>0</v>
      </c>
      <c r="BB220" s="3">
        <v>0</v>
      </c>
      <c r="BC220" s="3">
        <v>0</v>
      </c>
      <c r="BD220" s="3">
        <v>0</v>
      </c>
      <c r="BE220" s="3">
        <v>0</v>
      </c>
      <c r="BF220" s="3">
        <v>0</v>
      </c>
      <c r="BG220" s="3">
        <v>0</v>
      </c>
      <c r="BH220" s="3">
        <v>0</v>
      </c>
      <c r="BI220" s="3">
        <v>0</v>
      </c>
      <c r="BJ220" s="3">
        <v>413</v>
      </c>
      <c r="BK220" s="3">
        <v>0</v>
      </c>
      <c r="BL220" s="3">
        <v>0</v>
      </c>
      <c r="BM220" s="3">
        <v>0</v>
      </c>
      <c r="BN220" s="3">
        <f t="shared" si="16"/>
        <v>57.1</v>
      </c>
      <c r="BO220">
        <v>678</v>
      </c>
      <c r="BP220" s="3">
        <v>5</v>
      </c>
      <c r="BQ220" s="1">
        <f t="shared" si="10"/>
        <v>7.3746312684365781E-3</v>
      </c>
      <c r="BR220" s="6">
        <v>0.17699999999999999</v>
      </c>
      <c r="BS220" s="6">
        <v>3.7999999999999999E-2</v>
      </c>
      <c r="BT220" s="6">
        <v>1.6E-2</v>
      </c>
      <c r="BU220" s="6">
        <v>8.5000000000000006E-2</v>
      </c>
      <c r="BV220" s="6">
        <v>3.5999999999999997E-2</v>
      </c>
      <c r="BW220" s="6"/>
      <c r="BX220" s="3">
        <v>928</v>
      </c>
      <c r="BY220" s="3">
        <v>6</v>
      </c>
      <c r="BZ220" s="3">
        <v>0</v>
      </c>
      <c r="CA220" s="3">
        <v>0</v>
      </c>
      <c r="CB220" s="3">
        <v>6</v>
      </c>
      <c r="CC220" s="3">
        <v>0</v>
      </c>
      <c r="CD220" s="3">
        <v>0</v>
      </c>
      <c r="CE220" s="4">
        <f t="shared" si="18"/>
        <v>11.749340217989277</v>
      </c>
      <c r="CF220" s="4">
        <f t="shared" si="19"/>
        <v>0.63125789912198338</v>
      </c>
      <c r="CG220" s="14">
        <f t="shared" si="20"/>
        <v>5209.2984590344104</v>
      </c>
      <c r="CH220" s="6">
        <f t="shared" si="21"/>
        <v>0.16088354747620723</v>
      </c>
      <c r="CJ220" s="6"/>
    </row>
    <row r="221" spans="1:88">
      <c r="A221" t="s">
        <v>351</v>
      </c>
      <c r="B221" t="s">
        <v>201</v>
      </c>
      <c r="C221" s="5">
        <v>0.84642372881355921</v>
      </c>
      <c r="D221" s="15">
        <v>7.0000000000000007E-2</v>
      </c>
      <c r="E221">
        <v>750</v>
      </c>
      <c r="F221" s="3">
        <f t="shared" si="17"/>
        <v>340.1946820767298</v>
      </c>
      <c r="G221">
        <v>0</v>
      </c>
      <c r="H221">
        <v>0</v>
      </c>
      <c r="I221">
        <v>0</v>
      </c>
      <c r="J221">
        <v>0</v>
      </c>
      <c r="K221">
        <v>0</v>
      </c>
      <c r="L221">
        <v>0</v>
      </c>
      <c r="M221">
        <v>0</v>
      </c>
      <c r="N221">
        <v>0</v>
      </c>
      <c r="O221">
        <v>1</v>
      </c>
      <c r="P221">
        <v>0</v>
      </c>
      <c r="Q221">
        <v>0</v>
      </c>
      <c r="R221" s="3">
        <f t="shared" si="12"/>
        <v>548</v>
      </c>
      <c r="S221" s="3">
        <f t="shared" si="13"/>
        <v>583</v>
      </c>
      <c r="T221">
        <v>78036045</v>
      </c>
      <c r="U221" s="6">
        <v>5.6799999999999996E-2</v>
      </c>
      <c r="V221" s="80">
        <v>3.0800000000000003E-3</v>
      </c>
      <c r="W221" s="11">
        <v>0.04</v>
      </c>
      <c r="X221" s="6">
        <f t="shared" si="15"/>
        <v>3.1806999999999999</v>
      </c>
      <c r="Y221">
        <v>14.9</v>
      </c>
      <c r="Z221" s="5">
        <v>4.75</v>
      </c>
      <c r="AA221" s="3">
        <v>106798</v>
      </c>
      <c r="AB221" s="14">
        <v>4900</v>
      </c>
      <c r="AC221" s="14">
        <v>53460</v>
      </c>
      <c r="AD221" s="3">
        <v>61070</v>
      </c>
      <c r="AE221" s="5">
        <v>1.3194221508828252</v>
      </c>
      <c r="AF221" s="14">
        <v>54490</v>
      </c>
      <c r="AG221">
        <v>990</v>
      </c>
      <c r="AH221" s="14">
        <v>49020</v>
      </c>
      <c r="AI221">
        <v>70</v>
      </c>
      <c r="AJ221" s="14">
        <v>53620</v>
      </c>
      <c r="AK221">
        <v>100</v>
      </c>
      <c r="AL221" s="14">
        <v>38850</v>
      </c>
      <c r="AM221">
        <v>21060</v>
      </c>
      <c r="AO221" s="3">
        <v>0</v>
      </c>
      <c r="AP221" s="3">
        <v>0</v>
      </c>
      <c r="AQ221" s="3">
        <v>0</v>
      </c>
      <c r="AR221" s="3">
        <v>0</v>
      </c>
      <c r="AS221" s="3">
        <v>178</v>
      </c>
      <c r="AT221" s="3">
        <v>0</v>
      </c>
      <c r="AU221" s="3">
        <v>54</v>
      </c>
      <c r="AV221" s="3">
        <v>0</v>
      </c>
      <c r="AW221" s="3">
        <v>455</v>
      </c>
      <c r="AX221" s="3">
        <v>0</v>
      </c>
      <c r="AY221" s="3">
        <v>12</v>
      </c>
      <c r="AZ221" s="3">
        <v>121</v>
      </c>
      <c r="BA221" s="3">
        <v>0</v>
      </c>
      <c r="BB221" s="3">
        <v>142</v>
      </c>
      <c r="BC221" s="3">
        <v>0</v>
      </c>
      <c r="BD221" s="3">
        <v>0</v>
      </c>
      <c r="BE221" s="3">
        <v>0</v>
      </c>
      <c r="BF221" s="3">
        <v>76</v>
      </c>
      <c r="BG221" s="3">
        <v>0</v>
      </c>
      <c r="BH221" s="3">
        <v>0</v>
      </c>
      <c r="BI221" s="3">
        <v>0</v>
      </c>
      <c r="BJ221" s="3">
        <v>0</v>
      </c>
      <c r="BK221" s="3">
        <v>0</v>
      </c>
      <c r="BL221" s="3">
        <v>0</v>
      </c>
      <c r="BM221" s="3">
        <v>0</v>
      </c>
      <c r="BN221" s="3">
        <f t="shared" si="16"/>
        <v>57.598554913294798</v>
      </c>
      <c r="BO221">
        <v>1073</v>
      </c>
      <c r="BP221" s="3">
        <v>12</v>
      </c>
      <c r="BQ221" s="1">
        <f t="shared" si="10"/>
        <v>1.1183597390493943E-2</v>
      </c>
      <c r="BR221" s="6">
        <v>0.17399999999999999</v>
      </c>
      <c r="BS221" s="6">
        <v>4.2999999999999997E-2</v>
      </c>
      <c r="BT221" s="6">
        <v>1.7000000000000001E-2</v>
      </c>
      <c r="BU221" s="6">
        <v>9.4E-2</v>
      </c>
      <c r="BV221" s="6">
        <v>2.8000000000000001E-2</v>
      </c>
      <c r="BW221" s="6"/>
      <c r="BX221" s="3">
        <v>137</v>
      </c>
      <c r="BY221" s="3">
        <v>5</v>
      </c>
      <c r="BZ221" s="3">
        <v>989</v>
      </c>
      <c r="CA221" s="3">
        <v>161</v>
      </c>
      <c r="CB221" s="3">
        <v>5</v>
      </c>
      <c r="CC221" s="3">
        <v>827</v>
      </c>
      <c r="CD221" s="3">
        <v>14</v>
      </c>
      <c r="CE221" s="4">
        <f t="shared" si="18"/>
        <v>10.517417442437251</v>
      </c>
      <c r="CF221" s="4">
        <f t="shared" si="19"/>
        <v>0.8669879041825409</v>
      </c>
      <c r="CG221" s="14">
        <f t="shared" si="20"/>
        <v>4758.74800093258</v>
      </c>
      <c r="CH221" s="6">
        <f t="shared" si="21"/>
        <v>0.11360626194965946</v>
      </c>
      <c r="CJ221" s="6"/>
    </row>
    <row r="222" spans="1:88">
      <c r="A222" t="s">
        <v>205</v>
      </c>
      <c r="B222" t="s">
        <v>313</v>
      </c>
      <c r="C222" s="5">
        <v>0.89432048681541143</v>
      </c>
      <c r="D222" s="15">
        <v>6.25E-2</v>
      </c>
      <c r="E222">
        <v>894</v>
      </c>
      <c r="F222" s="3">
        <f t="shared" si="17"/>
        <v>405.51206103546195</v>
      </c>
      <c r="G222">
        <v>0</v>
      </c>
      <c r="H222">
        <v>1</v>
      </c>
      <c r="I222">
        <v>0</v>
      </c>
      <c r="J222">
        <v>1</v>
      </c>
      <c r="K222">
        <v>0</v>
      </c>
      <c r="L222">
        <v>0</v>
      </c>
      <c r="M222">
        <v>0</v>
      </c>
      <c r="N222">
        <v>1</v>
      </c>
      <c r="O222">
        <v>0</v>
      </c>
      <c r="P222">
        <v>1</v>
      </c>
      <c r="Q222">
        <v>0</v>
      </c>
      <c r="R222" s="3">
        <f t="shared" si="12"/>
        <v>644</v>
      </c>
      <c r="S222" s="3">
        <f>SUMPRODUCT(G222:Q222,$G$178:$Q$178)/SUM(G222:Q222)</f>
        <v>684</v>
      </c>
      <c r="T222">
        <v>525562940</v>
      </c>
      <c r="U222" s="6">
        <v>5.45E-2</v>
      </c>
      <c r="V222" s="80">
        <v>3.7000000000000002E-3</v>
      </c>
      <c r="W222" s="11">
        <v>3.4000000000000002E-2</v>
      </c>
      <c r="X222" s="6">
        <f t="shared" si="15"/>
        <v>3.0587999999999997</v>
      </c>
      <c r="Y222">
        <v>19</v>
      </c>
      <c r="Z222" s="5">
        <v>5.5</v>
      </c>
      <c r="AA222" s="3">
        <v>676587</v>
      </c>
      <c r="AB222" s="14">
        <v>2200</v>
      </c>
      <c r="AC222" s="14">
        <v>49690</v>
      </c>
      <c r="AD222" s="3">
        <v>210940</v>
      </c>
      <c r="AE222" s="5">
        <v>1.3228476821192052</v>
      </c>
      <c r="AF222" s="14">
        <v>61500</v>
      </c>
      <c r="AG222">
        <v>7230</v>
      </c>
      <c r="AH222" s="14">
        <v>61000</v>
      </c>
      <c r="AI222">
        <v>900</v>
      </c>
      <c r="AJ222" s="14">
        <v>60880</v>
      </c>
      <c r="AK222">
        <v>3730</v>
      </c>
      <c r="AL222" s="14">
        <v>40350</v>
      </c>
      <c r="AM222">
        <v>88310</v>
      </c>
      <c r="AO222" s="3">
        <v>0</v>
      </c>
      <c r="AP222" s="3">
        <v>879</v>
      </c>
      <c r="AQ222" s="3">
        <v>0</v>
      </c>
      <c r="AR222" s="3">
        <v>636</v>
      </c>
      <c r="AS222" s="3">
        <v>0</v>
      </c>
      <c r="AT222" s="3">
        <v>0</v>
      </c>
      <c r="AU222" s="3">
        <v>0</v>
      </c>
      <c r="AV222" s="3">
        <v>407</v>
      </c>
      <c r="AW222" s="3">
        <v>177</v>
      </c>
      <c r="AX222" s="3">
        <v>285</v>
      </c>
      <c r="AY222" s="3">
        <v>0</v>
      </c>
      <c r="AZ222" s="3">
        <v>0</v>
      </c>
      <c r="BA222" s="3">
        <v>0</v>
      </c>
      <c r="BB222" s="3">
        <v>0</v>
      </c>
      <c r="BC222" s="3">
        <v>0</v>
      </c>
      <c r="BD222" s="3">
        <v>0</v>
      </c>
      <c r="BE222" s="3">
        <v>0</v>
      </c>
      <c r="BF222" s="3">
        <v>0</v>
      </c>
      <c r="BG222" s="3">
        <v>0</v>
      </c>
      <c r="BH222" s="3">
        <v>0</v>
      </c>
      <c r="BI222" s="3">
        <v>0</v>
      </c>
      <c r="BJ222" s="3">
        <v>0</v>
      </c>
      <c r="BK222" s="3">
        <v>0</v>
      </c>
      <c r="BL222" s="3">
        <v>0</v>
      </c>
      <c r="BM222" s="3">
        <v>0</v>
      </c>
      <c r="BN222" s="3">
        <f t="shared" si="16"/>
        <v>57.567994966442946</v>
      </c>
      <c r="BO222">
        <v>3234</v>
      </c>
      <c r="BP222" s="3">
        <v>20</v>
      </c>
      <c r="BQ222" s="1">
        <f t="shared" si="10"/>
        <v>6.1842918985776131E-3</v>
      </c>
      <c r="BR222" s="6">
        <v>0.17</v>
      </c>
      <c r="BS222" s="6">
        <v>4.4999999999999998E-2</v>
      </c>
      <c r="BT222" s="6">
        <v>1.4999999999999999E-2</v>
      </c>
      <c r="BU222" s="6">
        <v>9.1999999999999998E-2</v>
      </c>
      <c r="BV222" s="6">
        <v>0.03</v>
      </c>
      <c r="BW222" s="6"/>
      <c r="BX222" s="3">
        <v>4984</v>
      </c>
      <c r="BY222" s="3">
        <v>929</v>
      </c>
      <c r="BZ222" s="3">
        <v>0</v>
      </c>
      <c r="CA222" s="3">
        <v>0</v>
      </c>
      <c r="CB222" s="3">
        <v>929</v>
      </c>
      <c r="CC222" s="3">
        <v>0</v>
      </c>
      <c r="CD222" s="3">
        <v>6307</v>
      </c>
      <c r="CE222" s="4">
        <f t="shared" si="18"/>
        <v>11.680664165695605</v>
      </c>
      <c r="CF222" s="4">
        <f t="shared" si="19"/>
        <v>0.59292626837053741</v>
      </c>
      <c r="CG222" s="14">
        <f t="shared" si="20"/>
        <v>4885.345375797162</v>
      </c>
      <c r="CH222" s="6">
        <f t="shared" si="21"/>
        <v>0.19009224534825522</v>
      </c>
      <c r="CJ222" s="6"/>
    </row>
    <row r="223" spans="1:88">
      <c r="A223" t="s">
        <v>352</v>
      </c>
      <c r="B223" t="s">
        <v>314</v>
      </c>
      <c r="C223" s="5">
        <v>1.0926720647773296</v>
      </c>
      <c r="D223" s="15">
        <v>6.0999999999999999E-2</v>
      </c>
      <c r="E223">
        <v>1467</v>
      </c>
      <c r="F223" s="3">
        <f t="shared" si="17"/>
        <v>665.42079814208353</v>
      </c>
      <c r="G223">
        <v>0</v>
      </c>
      <c r="H223">
        <v>0</v>
      </c>
      <c r="I223">
        <v>0</v>
      </c>
      <c r="J223">
        <v>0</v>
      </c>
      <c r="K223">
        <v>0</v>
      </c>
      <c r="L223">
        <v>0</v>
      </c>
      <c r="M223">
        <v>0</v>
      </c>
      <c r="N223">
        <v>0</v>
      </c>
      <c r="O223">
        <v>0</v>
      </c>
      <c r="P223">
        <v>1</v>
      </c>
      <c r="Q223">
        <v>0</v>
      </c>
      <c r="R223" s="3">
        <f t="shared" si="12"/>
        <v>563</v>
      </c>
      <c r="S223" s="3">
        <f t="shared" si="13"/>
        <v>604</v>
      </c>
      <c r="T223">
        <v>39386043</v>
      </c>
      <c r="U223" s="6">
        <v>5.9800000000000006E-2</v>
      </c>
      <c r="V223" s="80">
        <v>3.3399999999999997E-3</v>
      </c>
      <c r="W223" s="11">
        <v>6.0000000000000001E-3</v>
      </c>
      <c r="X223" s="6">
        <f t="shared" si="15"/>
        <v>3.2575000000000003</v>
      </c>
      <c r="Y223">
        <v>9.6999999999999993</v>
      </c>
      <c r="Z223" s="5">
        <v>5.25</v>
      </c>
      <c r="AA223" s="3">
        <v>212818</v>
      </c>
      <c r="AB223" s="14">
        <v>1540</v>
      </c>
      <c r="AC223" s="14">
        <v>54420</v>
      </c>
      <c r="AD223" s="3">
        <v>21830</v>
      </c>
      <c r="AE223" s="5">
        <v>1.2756302521008405</v>
      </c>
      <c r="AF223" s="14">
        <v>60230</v>
      </c>
      <c r="AG223">
        <v>390</v>
      </c>
      <c r="AH223" s="14">
        <v>76140</v>
      </c>
      <c r="AI223">
        <v>50</v>
      </c>
      <c r="AJ223" s="14">
        <v>70870</v>
      </c>
      <c r="AK223">
        <v>70</v>
      </c>
      <c r="AL223" s="14">
        <v>46370</v>
      </c>
      <c r="AM223">
        <v>6700</v>
      </c>
      <c r="AO223" s="3">
        <v>0</v>
      </c>
      <c r="AP223" s="3">
        <v>0</v>
      </c>
      <c r="AQ223" s="3">
        <v>401</v>
      </c>
      <c r="AR223" s="3">
        <v>0</v>
      </c>
      <c r="AS223" s="3">
        <v>0</v>
      </c>
      <c r="AT223" s="3">
        <v>0</v>
      </c>
      <c r="AU223" s="3">
        <v>0</v>
      </c>
      <c r="AV223" s="3">
        <v>0</v>
      </c>
      <c r="AW223" s="3">
        <v>0</v>
      </c>
      <c r="AX223" s="3">
        <v>0</v>
      </c>
      <c r="AY223" s="3">
        <v>0</v>
      </c>
      <c r="AZ223" s="3">
        <v>0</v>
      </c>
      <c r="BA223" s="3">
        <v>232</v>
      </c>
      <c r="BB223" s="3">
        <v>0</v>
      </c>
      <c r="BC223" s="3">
        <v>0</v>
      </c>
      <c r="BD223" s="3">
        <v>0</v>
      </c>
      <c r="BE223" s="3">
        <v>194</v>
      </c>
      <c r="BF223" s="3">
        <v>0</v>
      </c>
      <c r="BG223" s="3">
        <v>81</v>
      </c>
      <c r="BH223" s="3">
        <v>0</v>
      </c>
      <c r="BI223" s="3">
        <v>0</v>
      </c>
      <c r="BJ223" s="3">
        <v>0</v>
      </c>
      <c r="BK223" s="3">
        <v>0</v>
      </c>
      <c r="BL223" s="3">
        <v>0</v>
      </c>
      <c r="BM223" s="3">
        <v>0</v>
      </c>
      <c r="BN223" s="3">
        <f t="shared" si="16"/>
        <v>56.716189427312777</v>
      </c>
      <c r="BO223">
        <v>938</v>
      </c>
      <c r="BP223" s="3">
        <v>5</v>
      </c>
      <c r="BQ223" s="1">
        <f t="shared" si="10"/>
        <v>5.3304904051172707E-3</v>
      </c>
      <c r="BR223" s="6">
        <v>0.156</v>
      </c>
      <c r="BS223" s="6">
        <v>4.2000000000000003E-2</v>
      </c>
      <c r="BT223" s="6">
        <v>1.0999999999999999E-2</v>
      </c>
      <c r="BU223" s="6">
        <v>7.5999999999999998E-2</v>
      </c>
      <c r="BV223" s="6">
        <v>2.3E-2</v>
      </c>
      <c r="BW223" s="6"/>
      <c r="BX223" s="3">
        <v>448</v>
      </c>
      <c r="BY223" s="3">
        <v>0</v>
      </c>
      <c r="BZ223" s="3">
        <v>0</v>
      </c>
      <c r="CA223" s="3">
        <v>0</v>
      </c>
      <c r="CB223" s="3">
        <v>0</v>
      </c>
      <c r="CC223" s="3">
        <v>0</v>
      </c>
      <c r="CD223" s="3">
        <v>1249</v>
      </c>
      <c r="CE223" s="4">
        <f t="shared" si="18"/>
        <v>11.583493646050051</v>
      </c>
      <c r="CF223" s="4">
        <f t="shared" si="19"/>
        <v>0.56035941216572316</v>
      </c>
      <c r="CG223" s="14">
        <f t="shared" si="20"/>
        <v>4941.7563685911427</v>
      </c>
      <c r="CH223" s="6">
        <f t="shared" si="21"/>
        <v>0.22031126987162786</v>
      </c>
      <c r="CJ223" s="6"/>
    </row>
    <row r="224" spans="1:88">
      <c r="A224" t="s">
        <v>353</v>
      </c>
      <c r="B224" t="s">
        <v>312</v>
      </c>
      <c r="C224" s="5">
        <v>1.000588235294118</v>
      </c>
      <c r="D224" s="15">
        <v>0.06</v>
      </c>
      <c r="E224">
        <v>13</v>
      </c>
      <c r="F224" s="3">
        <f t="shared" si="17"/>
        <v>5.8967078226633163</v>
      </c>
      <c r="G224">
        <v>0</v>
      </c>
      <c r="H224">
        <v>0</v>
      </c>
      <c r="I224">
        <v>1</v>
      </c>
      <c r="J224">
        <v>0</v>
      </c>
      <c r="K224">
        <v>0</v>
      </c>
      <c r="L224">
        <v>0</v>
      </c>
      <c r="M224">
        <v>0</v>
      </c>
      <c r="N224">
        <v>0</v>
      </c>
      <c r="O224">
        <v>0</v>
      </c>
      <c r="P224">
        <v>0</v>
      </c>
      <c r="Q224">
        <v>0</v>
      </c>
      <c r="R224" s="3">
        <f t="shared" si="12"/>
        <v>376</v>
      </c>
      <c r="S224" s="3">
        <f t="shared" si="13"/>
        <v>400</v>
      </c>
      <c r="T224">
        <v>2183829</v>
      </c>
      <c r="U224" s="6">
        <v>0.1105</v>
      </c>
      <c r="V224" s="80">
        <v>2.82E-3</v>
      </c>
      <c r="W224" s="11">
        <v>8.5999999999999993E-2</v>
      </c>
      <c r="X224" s="6">
        <f t="shared" si="15"/>
        <v>3.2866</v>
      </c>
      <c r="Y224">
        <v>6.5</v>
      </c>
      <c r="Z224" s="5">
        <v>4</v>
      </c>
      <c r="AA224" s="3">
        <v>23871</v>
      </c>
      <c r="AB224" s="14">
        <v>8290</v>
      </c>
      <c r="AC224" s="14">
        <v>52010</v>
      </c>
      <c r="AD224" s="3">
        <v>3180</v>
      </c>
      <c r="AE224" s="5">
        <v>1.2645259938837918</v>
      </c>
      <c r="AF224" s="14">
        <v>64540</v>
      </c>
      <c r="AG224">
        <v>90</v>
      </c>
      <c r="AH224" s="10">
        <v>55982.7</v>
      </c>
      <c r="AI224" s="8">
        <v>0</v>
      </c>
      <c r="AJ224" s="10">
        <v>50229.389671361503</v>
      </c>
      <c r="AK224" s="8">
        <v>0</v>
      </c>
      <c r="AL224" s="14">
        <v>43250</v>
      </c>
      <c r="AM224">
        <v>730</v>
      </c>
      <c r="AN224" s="8"/>
      <c r="AO224" s="3">
        <v>0</v>
      </c>
      <c r="AP224" s="3">
        <v>0</v>
      </c>
      <c r="AQ224" s="3">
        <v>0</v>
      </c>
      <c r="AR224" s="3">
        <v>0</v>
      </c>
      <c r="AS224" s="3">
        <v>0</v>
      </c>
      <c r="AT224" s="3">
        <v>0</v>
      </c>
      <c r="AU224" s="3">
        <v>0</v>
      </c>
      <c r="AV224" s="3">
        <v>0</v>
      </c>
      <c r="AW224" s="3">
        <v>0</v>
      </c>
      <c r="AX224" s="3">
        <v>0</v>
      </c>
      <c r="AY224" s="3">
        <v>0</v>
      </c>
      <c r="AZ224" s="3">
        <v>0</v>
      </c>
      <c r="BA224" s="3">
        <v>0</v>
      </c>
      <c r="BB224" s="3">
        <v>0</v>
      </c>
      <c r="BC224" s="3">
        <v>0</v>
      </c>
      <c r="BD224" s="3">
        <v>0</v>
      </c>
      <c r="BE224" s="3">
        <v>0</v>
      </c>
      <c r="BF224" s="3">
        <v>0</v>
      </c>
      <c r="BG224" s="3">
        <v>0</v>
      </c>
      <c r="BH224" s="3">
        <v>0</v>
      </c>
      <c r="BI224" s="3">
        <v>0</v>
      </c>
      <c r="BJ224" s="3">
        <v>0</v>
      </c>
      <c r="BK224" s="3">
        <v>177</v>
      </c>
      <c r="BL224" s="3">
        <v>0</v>
      </c>
      <c r="BM224" s="3">
        <v>0</v>
      </c>
      <c r="BN224" s="3">
        <f t="shared" si="16"/>
        <v>53.4</v>
      </c>
      <c r="BO224">
        <v>320</v>
      </c>
      <c r="BP224" s="3">
        <v>0</v>
      </c>
      <c r="BQ224" s="1">
        <f t="shared" si="10"/>
        <v>0</v>
      </c>
      <c r="BR224" s="6">
        <v>0.17499999999999999</v>
      </c>
      <c r="BS224" s="6">
        <v>0.04</v>
      </c>
      <c r="BT224" s="6">
        <v>1.7999999999999999E-2</v>
      </c>
      <c r="BU224" s="6">
        <v>8.4000000000000005E-2</v>
      </c>
      <c r="BV224" s="6">
        <v>4.8000000000000001E-2</v>
      </c>
      <c r="BW224" s="6"/>
      <c r="BX224" s="3">
        <v>0</v>
      </c>
      <c r="BY224" s="3">
        <v>24</v>
      </c>
      <c r="BZ224" s="3">
        <v>0</v>
      </c>
      <c r="CA224" s="3">
        <v>3</v>
      </c>
      <c r="CB224" s="3">
        <v>24</v>
      </c>
      <c r="CC224" s="3">
        <v>0</v>
      </c>
      <c r="CD224" s="3">
        <v>0</v>
      </c>
      <c r="CE224" s="4">
        <f t="shared" si="18"/>
        <v>11.952742240977765</v>
      </c>
      <c r="CF224" s="4">
        <f t="shared" si="19"/>
        <v>0.68430967094772344</v>
      </c>
      <c r="CG224" s="14">
        <f t="shared" si="20"/>
        <v>3994.5075143448812</v>
      </c>
      <c r="CH224" s="6">
        <f t="shared" si="21"/>
        <v>9.0604299299704871E-2</v>
      </c>
      <c r="CJ224" s="6"/>
    </row>
    <row r="225" spans="1:88">
      <c r="A225" t="s">
        <v>354</v>
      </c>
      <c r="B225" t="s">
        <v>312</v>
      </c>
      <c r="C225" s="5">
        <v>0.97336575875487075</v>
      </c>
      <c r="D225" s="15">
        <v>5.2999999999999999E-2</v>
      </c>
      <c r="E225">
        <v>642</v>
      </c>
      <c r="F225" s="3">
        <f t="shared" si="17"/>
        <v>291.20664785768071</v>
      </c>
      <c r="G225">
        <v>0</v>
      </c>
      <c r="H225">
        <v>0</v>
      </c>
      <c r="I225">
        <v>0</v>
      </c>
      <c r="J225">
        <v>0</v>
      </c>
      <c r="K225">
        <v>0</v>
      </c>
      <c r="L225">
        <v>0</v>
      </c>
      <c r="M225">
        <v>1</v>
      </c>
      <c r="N225">
        <v>0</v>
      </c>
      <c r="O225">
        <v>0</v>
      </c>
      <c r="P225">
        <v>0</v>
      </c>
      <c r="Q225">
        <v>0</v>
      </c>
      <c r="R225" s="3">
        <f t="shared" si="12"/>
        <v>522</v>
      </c>
      <c r="S225" s="3">
        <f t="shared" si="13"/>
        <v>578</v>
      </c>
      <c r="T225">
        <v>89477325</v>
      </c>
      <c r="U225" s="6">
        <v>6.8499999999999991E-2</v>
      </c>
      <c r="V225" s="80">
        <v>3.0800000000000003E-3</v>
      </c>
      <c r="W225" s="11">
        <v>0.04</v>
      </c>
      <c r="X225" s="6">
        <f t="shared" si="15"/>
        <v>3.2866</v>
      </c>
      <c r="Y225">
        <v>13.6</v>
      </c>
      <c r="Z225" s="5">
        <v>4.5</v>
      </c>
      <c r="AA225" s="3">
        <v>102279</v>
      </c>
      <c r="AB225" s="14">
        <v>4650</v>
      </c>
      <c r="AC225" s="14">
        <v>51290</v>
      </c>
      <c r="AD225" s="3">
        <v>43380</v>
      </c>
      <c r="AE225" s="5">
        <v>1.3194221508828252</v>
      </c>
      <c r="AF225" s="14">
        <v>64470</v>
      </c>
      <c r="AG225">
        <v>1310</v>
      </c>
      <c r="AH225" s="10">
        <v>55982.7</v>
      </c>
      <c r="AI225" s="8">
        <v>0</v>
      </c>
      <c r="AJ225" s="14">
        <v>46220</v>
      </c>
      <c r="AK225">
        <v>140</v>
      </c>
      <c r="AL225" s="14">
        <v>44180</v>
      </c>
      <c r="AM225">
        <v>16280</v>
      </c>
      <c r="AO225" s="3">
        <v>0</v>
      </c>
      <c r="AP225" s="3">
        <v>0</v>
      </c>
      <c r="AQ225" s="3">
        <v>0</v>
      </c>
      <c r="AR225" s="3">
        <v>0</v>
      </c>
      <c r="AS225" s="3">
        <v>0</v>
      </c>
      <c r="AT225" s="3">
        <v>0</v>
      </c>
      <c r="AU225" s="3">
        <v>0</v>
      </c>
      <c r="AV225" s="3">
        <v>0</v>
      </c>
      <c r="AW225" s="3">
        <v>0</v>
      </c>
      <c r="AX225" s="3">
        <v>0</v>
      </c>
      <c r="AY225" s="3">
        <v>0</v>
      </c>
      <c r="AZ225" s="3">
        <v>0</v>
      </c>
      <c r="BA225" s="3">
        <v>0</v>
      </c>
      <c r="BB225" s="3">
        <v>0</v>
      </c>
      <c r="BC225" s="3">
        <v>0</v>
      </c>
      <c r="BD225" s="3">
        <v>61</v>
      </c>
      <c r="BE225" s="3">
        <v>0</v>
      </c>
      <c r="BF225" s="3">
        <v>325</v>
      </c>
      <c r="BG225" s="3">
        <v>0</v>
      </c>
      <c r="BH225" s="3">
        <v>69</v>
      </c>
      <c r="BI225" s="3">
        <v>0</v>
      </c>
      <c r="BJ225" s="3">
        <v>0</v>
      </c>
      <c r="BK225" s="3">
        <v>0</v>
      </c>
      <c r="BL225" s="3">
        <v>0</v>
      </c>
      <c r="BM225" s="3">
        <v>179</v>
      </c>
      <c r="BN225" s="3">
        <f t="shared" si="16"/>
        <v>56.380441640378557</v>
      </c>
      <c r="BO225">
        <v>1118</v>
      </c>
      <c r="BP225" s="3">
        <v>7</v>
      </c>
      <c r="BQ225" s="1">
        <f t="shared" si="10"/>
        <v>6.2611806797853312E-3</v>
      </c>
      <c r="BR225" s="6">
        <v>0.17399999999999999</v>
      </c>
      <c r="BS225" s="6">
        <v>4.2999999999999997E-2</v>
      </c>
      <c r="BT225" s="6">
        <v>1.7000000000000001E-2</v>
      </c>
      <c r="BU225" s="6">
        <v>9.4E-2</v>
      </c>
      <c r="BV225" s="6">
        <v>2.8000000000000001E-2</v>
      </c>
      <c r="BW225" s="6"/>
      <c r="BX225" s="3">
        <v>0</v>
      </c>
      <c r="BY225" s="3">
        <v>0</v>
      </c>
      <c r="BZ225" s="3">
        <v>1051</v>
      </c>
      <c r="CA225" s="3">
        <v>0</v>
      </c>
      <c r="CB225" s="3">
        <v>0</v>
      </c>
      <c r="CC225" s="3">
        <v>1990</v>
      </c>
      <c r="CD225" s="3">
        <v>0</v>
      </c>
      <c r="CE225" s="4">
        <f t="shared" si="18"/>
        <v>10.149398886617666</v>
      </c>
      <c r="CF225" s="4">
        <f t="shared" si="19"/>
        <v>0.91564573797369864</v>
      </c>
      <c r="CG225" s="14">
        <f t="shared" si="20"/>
        <v>4918.5352854461407</v>
      </c>
      <c r="CH225" s="6">
        <f t="shared" si="21"/>
        <v>0.10784494266748806</v>
      </c>
      <c r="CJ225" s="6"/>
    </row>
    <row r="226" spans="1:88">
      <c r="A226" t="s">
        <v>355</v>
      </c>
      <c r="B226" t="s">
        <v>315</v>
      </c>
      <c r="C226" s="5">
        <v>1.1419892473118298</v>
      </c>
      <c r="D226" s="15">
        <v>6.5000000000000002E-2</v>
      </c>
      <c r="E226">
        <v>203</v>
      </c>
      <c r="F226" s="3">
        <f t="shared" si="17"/>
        <v>92.079360615434865</v>
      </c>
      <c r="G226">
        <v>0</v>
      </c>
      <c r="H226">
        <v>0</v>
      </c>
      <c r="I226">
        <v>0</v>
      </c>
      <c r="J226">
        <v>0</v>
      </c>
      <c r="K226">
        <v>0</v>
      </c>
      <c r="L226">
        <v>1</v>
      </c>
      <c r="M226">
        <v>0</v>
      </c>
      <c r="N226">
        <v>0</v>
      </c>
      <c r="O226">
        <v>0</v>
      </c>
      <c r="P226">
        <v>0</v>
      </c>
      <c r="Q226">
        <v>0</v>
      </c>
      <c r="R226" s="3">
        <f t="shared" si="12"/>
        <v>418</v>
      </c>
      <c r="S226" s="3">
        <f t="shared" si="13"/>
        <v>440</v>
      </c>
      <c r="T226">
        <v>116690498</v>
      </c>
      <c r="U226" s="6">
        <v>4.8000000000000001E-2</v>
      </c>
      <c r="V226" s="80">
        <v>4.6800000000000001E-3</v>
      </c>
      <c r="W226" s="11">
        <v>5.2999999999999999E-2</v>
      </c>
      <c r="X226" s="6">
        <f t="shared" si="15"/>
        <v>3.6216999999999997</v>
      </c>
      <c r="Y226">
        <v>8.6</v>
      </c>
      <c r="Z226" s="5">
        <v>4</v>
      </c>
      <c r="AA226" s="3">
        <v>172119</v>
      </c>
      <c r="AB226" s="14">
        <v>835</v>
      </c>
      <c r="AC226" s="14">
        <v>60210</v>
      </c>
      <c r="AD226" s="3">
        <v>37250</v>
      </c>
      <c r="AE226" s="5">
        <v>1.2756302521008405</v>
      </c>
      <c r="AF226" s="14">
        <v>82640</v>
      </c>
      <c r="AG226">
        <v>1170</v>
      </c>
      <c r="AH226" s="14">
        <v>56610</v>
      </c>
      <c r="AI226">
        <v>30</v>
      </c>
      <c r="AJ226" s="14">
        <v>66240</v>
      </c>
      <c r="AK226">
        <v>70</v>
      </c>
      <c r="AL226" s="14">
        <v>46310</v>
      </c>
      <c r="AM226">
        <v>16940</v>
      </c>
      <c r="AO226" s="3">
        <v>277</v>
      </c>
      <c r="AP226" s="3">
        <v>0</v>
      </c>
      <c r="AQ226" s="3">
        <v>0</v>
      </c>
      <c r="AR226" s="3">
        <v>0</v>
      </c>
      <c r="AS226" s="3">
        <v>0</v>
      </c>
      <c r="AT226" s="3">
        <v>0</v>
      </c>
      <c r="AU226" s="3">
        <v>0</v>
      </c>
      <c r="AV226" s="3">
        <v>0</v>
      </c>
      <c r="AW226" s="3">
        <v>0</v>
      </c>
      <c r="AX226" s="3">
        <v>0</v>
      </c>
      <c r="AY226" s="3">
        <v>0</v>
      </c>
      <c r="AZ226" s="3">
        <v>0</v>
      </c>
      <c r="BA226" s="3">
        <v>0</v>
      </c>
      <c r="BB226" s="3">
        <v>0</v>
      </c>
      <c r="BC226" s="3">
        <v>0</v>
      </c>
      <c r="BD226" s="3">
        <v>0</v>
      </c>
      <c r="BE226" s="3">
        <v>0</v>
      </c>
      <c r="BF226" s="3">
        <v>0</v>
      </c>
      <c r="BG226" s="3">
        <v>0</v>
      </c>
      <c r="BH226" s="3">
        <v>0</v>
      </c>
      <c r="BI226" s="3">
        <v>0</v>
      </c>
      <c r="BJ226" s="3">
        <v>297</v>
      </c>
      <c r="BK226" s="3">
        <v>0</v>
      </c>
      <c r="BL226" s="3">
        <v>0</v>
      </c>
      <c r="BM226" s="3">
        <v>0</v>
      </c>
      <c r="BN226" s="3">
        <f t="shared" si="16"/>
        <v>55.024912891986062</v>
      </c>
      <c r="BO226">
        <v>764</v>
      </c>
      <c r="BP226" s="3">
        <v>13</v>
      </c>
      <c r="BQ226" s="1">
        <f t="shared" si="10"/>
        <v>1.7015706806282723E-2</v>
      </c>
      <c r="BR226" s="6">
        <v>0.156</v>
      </c>
      <c r="BS226" s="6">
        <v>4.2000000000000003E-2</v>
      </c>
      <c r="BT226" s="6">
        <v>1.0999999999999999E-2</v>
      </c>
      <c r="BU226" s="6">
        <v>7.5999999999999998E-2</v>
      </c>
      <c r="BV226" s="6">
        <v>2.3E-2</v>
      </c>
      <c r="BW226" s="6"/>
      <c r="BX226" s="3">
        <v>1400</v>
      </c>
      <c r="BY226" s="3">
        <v>0</v>
      </c>
      <c r="BZ226" s="3">
        <v>0</v>
      </c>
      <c r="CA226" s="3">
        <v>0</v>
      </c>
      <c r="CB226" s="3">
        <v>0</v>
      </c>
      <c r="CC226" s="3">
        <v>0</v>
      </c>
      <c r="CD226" s="3">
        <v>500</v>
      </c>
      <c r="CE226" s="4">
        <f t="shared" si="18"/>
        <v>11.687680372552963</v>
      </c>
      <c r="CF226" s="4">
        <f t="shared" si="19"/>
        <v>0.60543638710967917</v>
      </c>
      <c r="CG226" s="14">
        <f t="shared" si="20"/>
        <v>5122.6038554111265</v>
      </c>
      <c r="CH226" s="6">
        <f t="shared" si="21"/>
        <v>0.18270242157732761</v>
      </c>
      <c r="CJ226" s="6"/>
    </row>
    <row r="227" spans="1:88">
      <c r="A227" t="s">
        <v>356</v>
      </c>
      <c r="B227" t="s">
        <v>312</v>
      </c>
      <c r="C227" s="5">
        <v>0.97153374233128742</v>
      </c>
      <c r="D227" s="15">
        <v>0.06</v>
      </c>
      <c r="E227">
        <v>1956</v>
      </c>
      <c r="F227" s="3">
        <f t="shared" si="17"/>
        <v>887.22773085611129</v>
      </c>
      <c r="G227">
        <v>0</v>
      </c>
      <c r="H227">
        <v>0</v>
      </c>
      <c r="I227">
        <v>0</v>
      </c>
      <c r="J227">
        <v>0</v>
      </c>
      <c r="K227">
        <v>0</v>
      </c>
      <c r="L227">
        <v>0</v>
      </c>
      <c r="M227">
        <v>1</v>
      </c>
      <c r="N227">
        <v>0</v>
      </c>
      <c r="O227">
        <v>0</v>
      </c>
      <c r="P227">
        <v>0</v>
      </c>
      <c r="Q227">
        <v>0</v>
      </c>
      <c r="R227" s="3">
        <f t="shared" si="12"/>
        <v>522</v>
      </c>
      <c r="S227" s="3">
        <f t="shared" si="13"/>
        <v>578</v>
      </c>
      <c r="T227">
        <v>56665360</v>
      </c>
      <c r="U227" s="6">
        <v>6.0199999999999997E-2</v>
      </c>
      <c r="V227" s="80">
        <v>3.0800000000000003E-3</v>
      </c>
      <c r="W227" s="11">
        <v>0.04</v>
      </c>
      <c r="X227" s="6">
        <f t="shared" si="15"/>
        <v>3.2866</v>
      </c>
      <c r="Y227">
        <v>11.7</v>
      </c>
      <c r="Z227" s="5">
        <v>4.25</v>
      </c>
      <c r="AA227" s="3">
        <v>62259</v>
      </c>
      <c r="AB227" s="14">
        <v>2450</v>
      </c>
      <c r="AC227" s="14">
        <v>46350</v>
      </c>
      <c r="AD227" s="3">
        <v>10740</v>
      </c>
      <c r="AE227" s="5">
        <v>1.3194221508828252</v>
      </c>
      <c r="AF227" s="14">
        <v>51210</v>
      </c>
      <c r="AG227">
        <v>440</v>
      </c>
      <c r="AH227" s="14">
        <v>67810</v>
      </c>
      <c r="AI227">
        <v>50</v>
      </c>
      <c r="AJ227" s="14">
        <v>52210</v>
      </c>
      <c r="AK227">
        <v>40</v>
      </c>
      <c r="AL227" s="14">
        <v>40790</v>
      </c>
      <c r="AM227">
        <v>2100</v>
      </c>
      <c r="AO227" s="3">
        <v>0</v>
      </c>
      <c r="AP227" s="3">
        <v>0</v>
      </c>
      <c r="AQ227" s="3">
        <v>0</v>
      </c>
      <c r="AR227" s="3">
        <v>0</v>
      </c>
      <c r="AS227" s="3">
        <v>0</v>
      </c>
      <c r="AT227" s="3">
        <v>0</v>
      </c>
      <c r="AU227" s="3">
        <v>0</v>
      </c>
      <c r="AV227" s="3">
        <v>0</v>
      </c>
      <c r="AW227" s="3">
        <v>0</v>
      </c>
      <c r="AX227" s="3">
        <v>0</v>
      </c>
      <c r="AY227" s="3">
        <v>0</v>
      </c>
      <c r="AZ227" s="3">
        <v>0</v>
      </c>
      <c r="BA227" s="3">
        <v>14</v>
      </c>
      <c r="BB227" s="3">
        <v>0</v>
      </c>
      <c r="BC227" s="3">
        <v>0</v>
      </c>
      <c r="BD227" s="3">
        <v>187</v>
      </c>
      <c r="BE227" s="3">
        <v>0</v>
      </c>
      <c r="BF227" s="3">
        <v>26</v>
      </c>
      <c r="BG227" s="3">
        <v>0</v>
      </c>
      <c r="BH227" s="3">
        <v>0</v>
      </c>
      <c r="BI227" s="3">
        <v>0</v>
      </c>
      <c r="BJ227" s="3">
        <v>0</v>
      </c>
      <c r="BK227" s="3">
        <v>0</v>
      </c>
      <c r="BL227" s="3">
        <v>0</v>
      </c>
      <c r="BM227" s="3">
        <v>0</v>
      </c>
      <c r="BN227" s="3">
        <f t="shared" si="16"/>
        <v>55.047136563876656</v>
      </c>
      <c r="BO227">
        <v>549</v>
      </c>
      <c r="BP227" s="3">
        <v>7</v>
      </c>
      <c r="BQ227" s="1">
        <f t="shared" si="10"/>
        <v>1.2750455373406194E-2</v>
      </c>
      <c r="BR227" s="6">
        <v>0.17399999999999999</v>
      </c>
      <c r="BS227" s="6">
        <v>4.2999999999999997E-2</v>
      </c>
      <c r="BT227" s="6">
        <v>1.7000000000000001E-2</v>
      </c>
      <c r="BU227" s="6">
        <v>9.4E-2</v>
      </c>
      <c r="BV227" s="6">
        <v>2.8000000000000001E-2</v>
      </c>
      <c r="BW227" s="6"/>
      <c r="BX227" s="3">
        <v>0</v>
      </c>
      <c r="BY227" s="3">
        <v>0</v>
      </c>
      <c r="BZ227" s="3">
        <v>1056</v>
      </c>
      <c r="CA227" s="3">
        <v>0</v>
      </c>
      <c r="CB227" s="3">
        <v>0</v>
      </c>
      <c r="CC227" s="3">
        <v>586</v>
      </c>
      <c r="CD227" s="3">
        <v>0</v>
      </c>
      <c r="CE227" s="4">
        <f t="shared" si="18"/>
        <v>10.518218737470548</v>
      </c>
      <c r="CF227" s="4">
        <f t="shared" si="19"/>
        <v>0.90701564897507125</v>
      </c>
      <c r="CG227" s="14">
        <f t="shared" si="20"/>
        <v>5020.5014958462298</v>
      </c>
      <c r="CH227" s="6">
        <f t="shared" si="21"/>
        <v>0.11617664458500311</v>
      </c>
      <c r="CJ227" s="6"/>
    </row>
    <row r="228" spans="1:88">
      <c r="A228" t="s">
        <v>357</v>
      </c>
      <c r="B228" t="s">
        <v>201</v>
      </c>
      <c r="C228" s="5">
        <v>1.0915805471124569</v>
      </c>
      <c r="D228" s="15">
        <v>0.05</v>
      </c>
      <c r="E228">
        <v>1185</v>
      </c>
      <c r="F228" s="3">
        <f t="shared" si="17"/>
        <v>537.50759768123305</v>
      </c>
      <c r="G228">
        <v>0</v>
      </c>
      <c r="H228">
        <v>0</v>
      </c>
      <c r="I228">
        <v>0</v>
      </c>
      <c r="J228">
        <v>1</v>
      </c>
      <c r="K228">
        <v>0</v>
      </c>
      <c r="L228">
        <v>0</v>
      </c>
      <c r="M228">
        <v>0</v>
      </c>
      <c r="N228">
        <v>0</v>
      </c>
      <c r="O228">
        <v>0</v>
      </c>
      <c r="P228">
        <v>0</v>
      </c>
      <c r="Q228">
        <v>0</v>
      </c>
      <c r="R228" s="3">
        <f t="shared" si="12"/>
        <v>727</v>
      </c>
      <c r="S228" s="3">
        <f t="shared" si="13"/>
        <v>766</v>
      </c>
      <c r="T228">
        <v>61244310</v>
      </c>
      <c r="U228" s="6">
        <v>7.3099999999999998E-2</v>
      </c>
      <c r="V228" s="80">
        <v>3.0800000000000003E-3</v>
      </c>
      <c r="W228" s="11">
        <v>0.06</v>
      </c>
      <c r="X228" s="6">
        <f t="shared" si="15"/>
        <v>3.1806999999999999</v>
      </c>
      <c r="Y228">
        <v>6.6</v>
      </c>
      <c r="Z228" s="5">
        <v>4</v>
      </c>
      <c r="AA228" s="3">
        <v>140268</v>
      </c>
      <c r="AB228" s="14">
        <v>3150</v>
      </c>
      <c r="AC228" s="14">
        <v>53270</v>
      </c>
      <c r="AD228" s="3">
        <v>49090</v>
      </c>
      <c r="AE228" s="5">
        <v>1.277602523659306</v>
      </c>
      <c r="AF228" s="14">
        <v>59390</v>
      </c>
      <c r="AG228">
        <v>530</v>
      </c>
      <c r="AH228" s="10">
        <v>55722.07547169811</v>
      </c>
      <c r="AI228" s="8">
        <v>0</v>
      </c>
      <c r="AJ228" s="14">
        <v>60140</v>
      </c>
      <c r="AK228">
        <v>80</v>
      </c>
      <c r="AL228" s="14">
        <v>44150</v>
      </c>
      <c r="AM228">
        <v>15270</v>
      </c>
      <c r="AO228" s="3">
        <v>0</v>
      </c>
      <c r="AP228" s="3">
        <v>0</v>
      </c>
      <c r="AQ228" s="3">
        <v>0</v>
      </c>
      <c r="AR228" s="3">
        <v>0</v>
      </c>
      <c r="AS228" s="3">
        <v>0</v>
      </c>
      <c r="AT228" s="3">
        <v>0</v>
      </c>
      <c r="AU228" s="3">
        <v>0</v>
      </c>
      <c r="AV228" s="3">
        <v>0</v>
      </c>
      <c r="AW228" s="3">
        <v>0</v>
      </c>
      <c r="AX228" s="3">
        <v>0</v>
      </c>
      <c r="AY228" s="3">
        <v>0</v>
      </c>
      <c r="AZ228" s="3">
        <v>0</v>
      </c>
      <c r="BA228" s="3">
        <v>0</v>
      </c>
      <c r="BB228" s="3">
        <v>0</v>
      </c>
      <c r="BC228" s="3">
        <v>0</v>
      </c>
      <c r="BD228" s="3">
        <v>0</v>
      </c>
      <c r="BE228" s="3">
        <v>0</v>
      </c>
      <c r="BF228" s="3">
        <v>0</v>
      </c>
      <c r="BG228" s="3">
        <v>0</v>
      </c>
      <c r="BH228" s="3">
        <v>0</v>
      </c>
      <c r="BI228" s="3">
        <v>0</v>
      </c>
      <c r="BJ228" s="3">
        <v>0</v>
      </c>
      <c r="BK228" s="3">
        <v>0</v>
      </c>
      <c r="BL228" s="3">
        <v>249</v>
      </c>
      <c r="BM228" s="3">
        <v>0</v>
      </c>
      <c r="BN228" s="3">
        <f t="shared" si="16"/>
        <v>56.7</v>
      </c>
      <c r="BO228">
        <v>745</v>
      </c>
      <c r="BP228" s="3">
        <v>9</v>
      </c>
      <c r="BQ228" s="1">
        <f t="shared" si="10"/>
        <v>1.2080536912751677E-2</v>
      </c>
      <c r="BR228" s="6">
        <v>0.17699999999999999</v>
      </c>
      <c r="BS228" s="6">
        <v>3.7999999999999999E-2</v>
      </c>
      <c r="BT228" s="6">
        <v>1.6E-2</v>
      </c>
      <c r="BU228" s="6">
        <v>8.5000000000000006E-2</v>
      </c>
      <c r="BV228" s="6">
        <v>3.5999999999999997E-2</v>
      </c>
      <c r="BW228" s="6"/>
      <c r="BX228" s="3">
        <v>245</v>
      </c>
      <c r="BY228" s="3">
        <v>301</v>
      </c>
      <c r="BZ228" s="3">
        <v>0</v>
      </c>
      <c r="CA228" s="3">
        <v>861</v>
      </c>
      <c r="CB228" s="3">
        <v>301</v>
      </c>
      <c r="CC228" s="3">
        <v>0</v>
      </c>
      <c r="CD228" s="3">
        <v>595</v>
      </c>
      <c r="CE228" s="4">
        <f t="shared" si="18"/>
        <v>11.357726872935704</v>
      </c>
      <c r="CF228" s="4">
        <f t="shared" si="19"/>
        <v>0.61865805268312013</v>
      </c>
      <c r="CG228" s="14">
        <f t="shared" si="20"/>
        <v>3567.7876626573056</v>
      </c>
      <c r="CH228" s="6">
        <f t="shared" si="21"/>
        <v>0.12794687734763716</v>
      </c>
      <c r="CJ228" s="6"/>
    </row>
    <row r="229" spans="1:88">
      <c r="A229" t="s">
        <v>358</v>
      </c>
      <c r="B229" t="s">
        <v>314</v>
      </c>
      <c r="C229" s="5">
        <v>1.0218471337579627</v>
      </c>
      <c r="D229" s="15">
        <v>0.04</v>
      </c>
      <c r="E229">
        <v>1833</v>
      </c>
      <c r="F229" s="3">
        <f t="shared" si="17"/>
        <v>831.43580299552764</v>
      </c>
      <c r="G229">
        <v>0</v>
      </c>
      <c r="H229">
        <v>0</v>
      </c>
      <c r="I229">
        <v>0</v>
      </c>
      <c r="J229">
        <v>0</v>
      </c>
      <c r="K229">
        <v>0</v>
      </c>
      <c r="L229">
        <v>1</v>
      </c>
      <c r="M229">
        <v>0</v>
      </c>
      <c r="N229">
        <v>1</v>
      </c>
      <c r="O229">
        <v>0</v>
      </c>
      <c r="P229">
        <v>1</v>
      </c>
      <c r="Q229">
        <v>0</v>
      </c>
      <c r="R229" s="3">
        <f t="shared" si="12"/>
        <v>551</v>
      </c>
      <c r="S229" s="3">
        <f t="shared" si="13"/>
        <v>582.33333333333337</v>
      </c>
      <c r="T229">
        <v>46347492</v>
      </c>
      <c r="U229" s="6">
        <v>6.7299999999999999E-2</v>
      </c>
      <c r="V229" s="80">
        <v>3.3399999999999997E-3</v>
      </c>
      <c r="W229" s="11">
        <v>6.0000000000000001E-3</v>
      </c>
      <c r="X229" s="6">
        <f t="shared" si="15"/>
        <v>3.2575000000000003</v>
      </c>
      <c r="Y229">
        <v>5.8</v>
      </c>
      <c r="Z229" s="5">
        <v>4.5</v>
      </c>
      <c r="AA229" s="3">
        <v>251470</v>
      </c>
      <c r="AB229" s="14">
        <v>800</v>
      </c>
      <c r="AC229" s="14">
        <v>53530</v>
      </c>
      <c r="AD229" s="3">
        <v>6020</v>
      </c>
      <c r="AE229" s="5">
        <v>1.2756302521008405</v>
      </c>
      <c r="AF229" s="14">
        <v>75520</v>
      </c>
      <c r="AG229">
        <v>130</v>
      </c>
      <c r="AH229" s="10">
        <v>74961.666666666672</v>
      </c>
      <c r="AI229" s="8">
        <v>0</v>
      </c>
      <c r="AJ229" s="10">
        <v>68916.666666666672</v>
      </c>
      <c r="AK229" s="8">
        <v>0</v>
      </c>
      <c r="AL229" s="14">
        <v>48000</v>
      </c>
      <c r="AM229">
        <v>620</v>
      </c>
      <c r="AN229" s="8"/>
      <c r="AO229" s="3">
        <v>0</v>
      </c>
      <c r="AP229" s="3">
        <v>0</v>
      </c>
      <c r="AQ229" s="3">
        <v>0</v>
      </c>
      <c r="AR229" s="3">
        <v>0</v>
      </c>
      <c r="AS229" s="3">
        <v>0</v>
      </c>
      <c r="AT229" s="3">
        <v>301</v>
      </c>
      <c r="AU229" s="3">
        <v>0</v>
      </c>
      <c r="AV229" s="3">
        <v>0</v>
      </c>
      <c r="AW229" s="3">
        <v>0</v>
      </c>
      <c r="AX229" s="3">
        <v>0</v>
      </c>
      <c r="AY229" s="3">
        <v>0</v>
      </c>
      <c r="AZ229" s="3">
        <v>0</v>
      </c>
      <c r="BA229" s="3">
        <v>0</v>
      </c>
      <c r="BB229" s="3">
        <v>0</v>
      </c>
      <c r="BC229" s="3">
        <v>0</v>
      </c>
      <c r="BD229" s="3">
        <v>0</v>
      </c>
      <c r="BE229" s="3">
        <v>403</v>
      </c>
      <c r="BF229" s="3">
        <v>0</v>
      </c>
      <c r="BG229" s="3">
        <v>0</v>
      </c>
      <c r="BH229" s="3">
        <v>0</v>
      </c>
      <c r="BI229" s="3">
        <v>0</v>
      </c>
      <c r="BJ229" s="3">
        <v>209</v>
      </c>
      <c r="BK229" s="3">
        <v>0</v>
      </c>
      <c r="BL229" s="3">
        <v>0</v>
      </c>
      <c r="BM229" s="3">
        <v>0</v>
      </c>
      <c r="BN229" s="3">
        <f t="shared" si="16"/>
        <v>57.958269441401974</v>
      </c>
      <c r="BO229">
        <v>913</v>
      </c>
      <c r="BP229" s="3">
        <v>10</v>
      </c>
      <c r="BQ229" s="1">
        <f t="shared" si="10"/>
        <v>1.0952902519167579E-2</v>
      </c>
      <c r="BR229" s="6">
        <v>0.156</v>
      </c>
      <c r="BS229" s="6">
        <v>4.2000000000000003E-2</v>
      </c>
      <c r="BT229" s="6">
        <v>1.0999999999999999E-2</v>
      </c>
      <c r="BU229" s="6">
        <v>7.5999999999999998E-2</v>
      </c>
      <c r="BV229" s="6">
        <v>2.3E-2</v>
      </c>
      <c r="BW229" s="6"/>
      <c r="BX229" s="3">
        <v>960</v>
      </c>
      <c r="BY229" s="3">
        <v>0</v>
      </c>
      <c r="BZ229" s="3">
        <v>0</v>
      </c>
      <c r="CA229" s="3">
        <v>0</v>
      </c>
      <c r="CB229" s="3">
        <v>0</v>
      </c>
      <c r="CC229" s="3">
        <v>0</v>
      </c>
      <c r="CD229" s="3">
        <v>873</v>
      </c>
      <c r="CE229" s="4">
        <f t="shared" si="18"/>
        <v>11.640723755084696</v>
      </c>
      <c r="CF229" s="4">
        <f t="shared" si="19"/>
        <v>0.5851203416774351</v>
      </c>
      <c r="CG229" s="14">
        <f t="shared" si="20"/>
        <v>5041.096483563083</v>
      </c>
      <c r="CH229" s="6">
        <f t="shared" si="21"/>
        <v>0.19965260671178567</v>
      </c>
      <c r="CJ229" s="6"/>
    </row>
    <row r="230" spans="1:88">
      <c r="AA230" s="3"/>
      <c r="AB230" s="3"/>
      <c r="AD230" s="1"/>
      <c r="AE230" s="1"/>
      <c r="BX230" s="3"/>
      <c r="BY230" s="3"/>
      <c r="BZ230" s="3"/>
      <c r="CA230" s="3"/>
      <c r="CB230" s="3"/>
      <c r="CC230" s="3"/>
      <c r="CD230" s="3"/>
      <c r="CE230" s="3"/>
      <c r="CF230" s="3"/>
    </row>
    <row r="231" spans="1:88">
      <c r="A231" t="s">
        <v>360</v>
      </c>
      <c r="C231" t="s">
        <v>378</v>
      </c>
      <c r="D231" t="s">
        <v>523</v>
      </c>
      <c r="F231" t="s">
        <v>1090</v>
      </c>
      <c r="R231" t="s">
        <v>1091</v>
      </c>
      <c r="S231" t="s">
        <v>1092</v>
      </c>
      <c r="U231" t="s">
        <v>447</v>
      </c>
      <c r="V231" t="s">
        <v>946</v>
      </c>
      <c r="W231" t="s">
        <v>944</v>
      </c>
      <c r="X231" t="s">
        <v>445</v>
      </c>
      <c r="Y231" t="s">
        <v>400</v>
      </c>
      <c r="Z231" t="s">
        <v>594</v>
      </c>
      <c r="AA231" s="3"/>
      <c r="AB231" t="s">
        <v>538</v>
      </c>
      <c r="AC231" t="s">
        <v>403</v>
      </c>
      <c r="AD231" s="1"/>
      <c r="AE231" t="s">
        <v>878</v>
      </c>
      <c r="AF231" t="s">
        <v>405</v>
      </c>
      <c r="AH231" t="s">
        <v>411</v>
      </c>
      <c r="AJ231" t="s">
        <v>409</v>
      </c>
      <c r="AL231" t="s">
        <v>824</v>
      </c>
      <c r="BN231" t="s">
        <v>438</v>
      </c>
      <c r="BO231" t="s">
        <v>635</v>
      </c>
      <c r="BQ231" t="s">
        <v>638</v>
      </c>
      <c r="BR231" t="s">
        <v>816</v>
      </c>
      <c r="BS231" t="s">
        <v>817</v>
      </c>
      <c r="BT231" t="s">
        <v>822</v>
      </c>
      <c r="BU231" t="s">
        <v>818</v>
      </c>
      <c r="BV231" t="s">
        <v>819</v>
      </c>
      <c r="BX231" s="3"/>
      <c r="BY231" s="3"/>
      <c r="BZ231" s="3"/>
      <c r="CA231" s="3"/>
      <c r="CB231" s="3"/>
      <c r="CC231" s="3"/>
      <c r="CD231" s="3"/>
      <c r="CE231" t="s">
        <v>928</v>
      </c>
      <c r="CF231" t="s">
        <v>981</v>
      </c>
      <c r="CG231" t="s">
        <v>938</v>
      </c>
      <c r="CH231" t="s">
        <v>939</v>
      </c>
    </row>
    <row r="232" spans="1:88">
      <c r="A232" t="s">
        <v>312</v>
      </c>
      <c r="C232" s="5">
        <f>AVERAGEIF($B$180:$B$229,A232,$C$180:$C$229)</f>
        <v>1.0313425511943004</v>
      </c>
      <c r="D232" s="15">
        <f>AVERAGEIF($B$180:$B$229,$A232,$D$180:$D$229)</f>
        <v>5.0847222222222231E-2</v>
      </c>
      <c r="E232" s="3"/>
      <c r="F232" s="3" cm="1">
        <f t="array" ref="F232">SUMPRODUCT(IF($B$180:$B$229=$A232,$F$180:$F$229*$T$180:$T$229))/SUMIF($B$180:$B$229,$A232,$T$180:$T$229)</f>
        <v>352.42766204040237</v>
      </c>
      <c r="R232" s="3" cm="1">
        <f t="array" ref="R232">SUMPRODUCT(IF($B$180:$B$229=$A232,$R$180:$R$229*$T$180:$T$229))/SUMIF($B$180:$B$229,$A232,$T$180:$T$229)</f>
        <v>502.45958296645455</v>
      </c>
      <c r="S232" s="3" cm="1">
        <f t="array" ref="S232">SUMPRODUCT(IF($B$180:$B$229=$A232,$S$180:$S$229*$T$180:$T$229))/SUMIF($B$180:$B$229,$A232,$T$180:$T$229)</f>
        <v>545.54475100079333</v>
      </c>
      <c r="U232" s="9" cm="1">
        <f t="array" ref="U232">SUMPRODUCT(IF($B$180:$B$229=$A232,$U$180:$U$229*$T$180:$T$229))/SUMIF($B$180:$B$229,$A232,$T$180:$T$229)</f>
        <v>7.2262109933001015E-2</v>
      </c>
      <c r="V232" s="80">
        <f>AVERAGEIF($B$180:$B$229,$A232,$V$180:$V$229)</f>
        <v>2.9500000000000004E-3</v>
      </c>
      <c r="W232" s="11">
        <f>AVERAGEIF($B$180:$B$229,$A232,$W$180:$W$229)</f>
        <v>6.4111111111111119E-2</v>
      </c>
      <c r="X232" s="6">
        <v>3.2866</v>
      </c>
      <c r="Y232" s="4" cm="1">
        <f t="array" ref="Y232">SUMPRODUCT(IF($B$180:$B$229=$A232,Y$180:Y$229*AA$180:AA$229))/SUMIF($B$180:$B$229,$A232,AA$180:AA$229)</f>
        <v>13.502816523583011</v>
      </c>
      <c r="Z232" s="4" cm="1">
        <f t="array" ref="Z232">SUMPRODUCT(IF($B$180:$B$229=$A232,Z$180:Z$229*AB$180:AB$229))/SUMIF($B$180:$B$229,$A232,AB$180:AB$229)</f>
        <v>4.3430446413643207</v>
      </c>
      <c r="AA232" s="4"/>
      <c r="AB232" s="14">
        <f>AVERAGEIF($B$180:$B$229,$A232,$AB$180:$AB$229)</f>
        <v>6645.5555555555557</v>
      </c>
      <c r="AC232" s="14" cm="1">
        <f t="array" ref="AC232">SUMPRODUCT(IF($B$180:$B$229=$A232,AC$180:AC$229*AD$180:AD$229))/SUMIF($B$180:$B$229,$A232,AD$180:AD$229)</f>
        <v>53183.800513639202</v>
      </c>
      <c r="AD232" s="14"/>
      <c r="AE232" s="5">
        <f>AVERAGEIF($B$180:$B$229,$A232,$AE$180:$AE$229)</f>
        <v>1.283551186759887</v>
      </c>
      <c r="AF232" s="14" cm="1">
        <f t="array" ref="AF232">SUMPRODUCT(IF($B$180:$B$229=$A232,AF$180:AF$229*AG$180:AG$229))/SUMIF($B$180:$B$229,$A232,AG$180:AG$229)</f>
        <v>69661.991404011467</v>
      </c>
      <c r="AG232" s="14"/>
      <c r="AH232" s="14" cm="1">
        <f t="array" ref="AH232">SUMPRODUCT(IF($B$180:$B$229=$A232,AH$180:AH$229*AI$180:AI$229))/SUMIF($B$180:$B$229,$A232,AI$180:AI$229)</f>
        <v>55982.7</v>
      </c>
      <c r="AI232" s="14"/>
      <c r="AJ232" s="14" cm="1">
        <f t="array" ref="AJ232">SUMPRODUCT(IF($B$180:$B$229=$A232,AJ$180:AJ$229*AK$180:AK$229))/SUMIF($B$180:$B$229,$A232,AK$180:AK$229)</f>
        <v>50229.389671361503</v>
      </c>
      <c r="AK232" s="14"/>
      <c r="AL232" s="14" cm="1">
        <f t="array" ref="AL232">SUMPRODUCT(IF($B$180:$B$229=$A232,AL$180:AL$229*AM$180:AM$229))/SUMIF($B$180:$B$229,$A232,AM$180:AM$229)</f>
        <v>43241.853260683318</v>
      </c>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c r="BK232" s="14"/>
      <c r="BL232" s="14"/>
      <c r="BM232" s="14"/>
      <c r="BN232" s="3" cm="1">
        <f t="array" ref="BN232">SUMPRODUCT(IF($B$180:$B$229=$A232,BN$180:BN$229*BO$180:BO$229))/SUMIF($B$180:$B$229,$A232,BO$180:BO$229)</f>
        <v>56.453275078573313</v>
      </c>
      <c r="BO232" s="3">
        <f>SUMIF($B$180:$B$229,$A232,$BO$180:$BO$229)</f>
        <v>14084</v>
      </c>
      <c r="BQ232" s="1" cm="1">
        <f t="array" ref="BQ232">SUMPRODUCT(IF($B$180:$B$229=$A232,BQ$180:BQ$229*BO$180:BO$229))/SUMIF($B$180:$B$229,$A232,BO$180:BO$229)</f>
        <v>9.4433399602385677E-3</v>
      </c>
      <c r="BR232" s="76">
        <f t="shared" ref="BR232:BV236" si="22">AVERAGEIF($B$180:$B$229,$A232,BR$180:BR$229)</f>
        <v>0.17477777777777775</v>
      </c>
      <c r="BS232" s="76">
        <f t="shared" si="22"/>
        <v>4.0888888888888891E-2</v>
      </c>
      <c r="BT232" s="76">
        <f t="shared" si="22"/>
        <v>1.755555555555556E-2</v>
      </c>
      <c r="BU232" s="76">
        <f t="shared" si="22"/>
        <v>8.7388888888888905E-2</v>
      </c>
      <c r="BV232" s="76">
        <f t="shared" si="22"/>
        <v>4.0666666666666677E-2</v>
      </c>
      <c r="BW232" s="76"/>
      <c r="BX232" s="77"/>
      <c r="BY232" s="77"/>
      <c r="BZ232" s="77"/>
      <c r="CA232" s="77"/>
      <c r="CB232" s="77"/>
      <c r="CC232" s="77"/>
      <c r="CD232" s="77"/>
      <c r="CE232" s="4">
        <f t="shared" ref="CE232:CH236" si="23">AVERAGEIFS(CE$180:CE$229,$B$180:$B$229,$A232,CE$180:CE$229,"&lt;&gt;0")</f>
        <v>10.647574380229551</v>
      </c>
      <c r="CF232" s="4">
        <f t="shared" si="23"/>
        <v>0.87925410983154073</v>
      </c>
      <c r="CG232" s="14">
        <f t="shared" si="23"/>
        <v>4864.0757146783581</v>
      </c>
      <c r="CH232" s="6">
        <f t="shared" si="23"/>
        <v>0.11168582082373935</v>
      </c>
    </row>
    <row r="233" spans="1:88">
      <c r="A233" t="s">
        <v>201</v>
      </c>
      <c r="C233" s="5">
        <f>AVERAGEIF($B$180:$B$229,A233,$C$180:$C$229)</f>
        <v>0.98945209185659999</v>
      </c>
      <c r="D233" s="15">
        <f t="shared" ref="D233:D236" si="24">AVERAGEIF($B$180:$B$229,$A233,$D$180:$D$229)</f>
        <v>6.0388888888888888E-2</v>
      </c>
      <c r="E233" s="3"/>
      <c r="F233" s="3" cm="1">
        <f t="array" ref="F233">SUMPRODUCT(IF($B$180:$B$229=$A233,$F$180:$F$229*$T$180:$T$229))/SUMIF($B$180:$B$229,$A233,$T$180:$T$229)</f>
        <v>490.22464506341424</v>
      </c>
      <c r="R233" s="3" cm="1">
        <f t="array" ref="R233">SUMPRODUCT(IF($B$180:$B$229=$A233,$R$180:$R$229*$T$180:$T$229))/SUMIF($B$180:$B$229,$A233,$T$180:$T$229)</f>
        <v>639.13309254753221</v>
      </c>
      <c r="S233" s="3" cm="1">
        <f t="array" ref="S233">SUMPRODUCT(IF($B$180:$B$229=$A233,$S$180:$S$229*$T$180:$T$229))/SUMIF($B$180:$B$229,$A233,$T$180:$T$229)</f>
        <v>681.52695823823535</v>
      </c>
      <c r="U233" s="9" cm="1">
        <f t="array" ref="U233">SUMPRODUCT(IF($B$180:$B$229=$A233,$U$180:$U$229*$T$180:$T$229))/SUMIF($B$180:$B$229,$A233,$T$180:$T$229)</f>
        <v>6.7349269902500744E-2</v>
      </c>
      <c r="V233" s="80">
        <f>AVERAGEIF($B$180:$B$229,$A233,$V$180:$V$229)</f>
        <v>2.7500000000000003E-3</v>
      </c>
      <c r="W233" s="11">
        <f>AVERAGEIF($B$180:$B$229,$A233,$W$180:$W$229)</f>
        <v>5.2222222222222218E-2</v>
      </c>
      <c r="X233" s="6">
        <v>3.1806999999999999</v>
      </c>
      <c r="Y233" s="4" cm="1">
        <f t="array" ref="Y233">SUMPRODUCT(IF($B$180:$B$229=$A233,Y$180:Y$229*AA$180:AA$229))/SUMIF($B$180:$B$229,$A233,AA$180:AA$229)</f>
        <v>9.8886472849686786</v>
      </c>
      <c r="Z233" s="4" cm="1">
        <f t="array" ref="Z233">SUMPRODUCT(IF($B$180:$B$229=$A233,Z$180:Z$229*AB$180:AB$229))/SUMIF($B$180:$B$229,$A233,AB$180:AB$229)</f>
        <v>4.3128850102669407</v>
      </c>
      <c r="AA233" s="4"/>
      <c r="AB233" s="14">
        <f>AVERAGEIF($B$180:$B$229,$A233,$AB$180:$AB$229)</f>
        <v>3246.6666666666665</v>
      </c>
      <c r="AC233" s="14" cm="1">
        <f t="array" ref="AC233">SUMPRODUCT(IF($B$180:$B$229=$A233,AC$180:AC$229*AD$180:AD$229))/SUMIF($B$180:$B$229,$A233,AD$180:AD$229)</f>
        <v>53821.944068360892</v>
      </c>
      <c r="AD233" s="14"/>
      <c r="AE233" s="5">
        <f>AVERAGEIF($B$180:$B$229,$A233,$AE$180:$AE$229)</f>
        <v>1.2868957741534215</v>
      </c>
      <c r="AF233" s="14" cm="1">
        <f t="array" ref="AF233">SUMPRODUCT(IF($B$180:$B$229=$A233,AF$180:AF$229*AG$180:AG$229))/SUMIF($B$180:$B$229,$A233,AG$180:AG$229)</f>
        <v>60487.854137447408</v>
      </c>
      <c r="AG233" s="14"/>
      <c r="AH233" s="14" cm="1">
        <f t="array" ref="AH233">SUMPRODUCT(IF($B$180:$B$229=$A233,AH$180:AH$229*AI$180:AI$229))/SUMIF($B$180:$B$229,$A233,AI$180:AI$229)</f>
        <v>55722.07547169811</v>
      </c>
      <c r="AI233" s="14"/>
      <c r="AJ233" s="14" cm="1">
        <f t="array" ref="AJ233">SUMPRODUCT(IF($B$180:$B$229=$A233,AJ$180:AJ$229*AK$180:AK$229))/SUMIF($B$180:$B$229,$A233,AK$180:AK$229)</f>
        <v>58811.165048543691</v>
      </c>
      <c r="AK233" s="14"/>
      <c r="AL233" s="14" cm="1">
        <f t="array" ref="AL233">SUMPRODUCT(IF($B$180:$B$229=$A233,AL$180:AL$229*AM$180:AM$229))/SUMIF($B$180:$B$229,$A233,AM$180:AM$229)</f>
        <v>43292.127136358045</v>
      </c>
      <c r="AM233" s="14"/>
      <c r="AN233" s="14"/>
      <c r="AO233" s="14"/>
      <c r="AP233" s="14"/>
      <c r="AQ233" s="14"/>
      <c r="AR233" s="14"/>
      <c r="AS233" s="14"/>
      <c r="AT233" s="14"/>
      <c r="AU233" s="14"/>
      <c r="AV233" s="14"/>
      <c r="AW233" s="14"/>
      <c r="AX233" s="14"/>
      <c r="AY233" s="14"/>
      <c r="AZ233" s="14"/>
      <c r="BA233" s="14"/>
      <c r="BB233" s="14"/>
      <c r="BC233" s="14"/>
      <c r="BD233" s="14"/>
      <c r="BE233" s="14"/>
      <c r="BF233" s="14"/>
      <c r="BG233" s="14"/>
      <c r="BH233" s="14"/>
      <c r="BI233" s="14"/>
      <c r="BJ233" s="14"/>
      <c r="BK233" s="14"/>
      <c r="BL233" s="14"/>
      <c r="BM233" s="14"/>
      <c r="BN233" s="3" cm="1">
        <f t="array" ref="BN233">SUMPRODUCT(IF($B$180:$B$229=$A233,BN$180:BN$229*BO$180:BO$229))/SUMIF($B$180:$B$229,$A233,BO$180:BO$229)</f>
        <v>57.097363873811076</v>
      </c>
      <c r="BO233" s="3">
        <f>SUMIF($B$180:$B$229,$A233,$BO$180:$BO$229)</f>
        <v>10033</v>
      </c>
      <c r="BQ233" s="1" cm="1">
        <f t="array" ref="BQ233">SUMPRODUCT(IF($B$180:$B$229=$A233,BQ$180:BQ$229*BO$180:BO$229))/SUMIF($B$180:$B$229,$A233,BO$180:BO$229)</f>
        <v>9.0700687730489379E-3</v>
      </c>
      <c r="BR233" s="76">
        <f t="shared" si="22"/>
        <v>0.17633333333333334</v>
      </c>
      <c r="BS233" s="76">
        <f t="shared" si="22"/>
        <v>3.9111111111111103E-2</v>
      </c>
      <c r="BT233" s="76">
        <f t="shared" si="22"/>
        <v>1.6222222222222225E-2</v>
      </c>
      <c r="BU233" s="76">
        <f t="shared" si="22"/>
        <v>8.6999999999999994E-2</v>
      </c>
      <c r="BV233" s="76">
        <f t="shared" si="22"/>
        <v>3.4222222222222223E-2</v>
      </c>
      <c r="BW233" s="76"/>
      <c r="BX233" s="77"/>
      <c r="BY233" s="77"/>
      <c r="BZ233" s="77"/>
      <c r="CA233" s="77"/>
      <c r="CB233" s="77"/>
      <c r="CC233" s="77"/>
      <c r="CD233" s="77"/>
      <c r="CE233" s="4">
        <f t="shared" si="23"/>
        <v>11.061719720294162</v>
      </c>
      <c r="CF233" s="4">
        <f t="shared" si="23"/>
        <v>0.73428486532360893</v>
      </c>
      <c r="CG233" s="14">
        <f t="shared" si="23"/>
        <v>4303.765054085563</v>
      </c>
      <c r="CH233" s="6">
        <f t="shared" si="23"/>
        <v>0.12576033120844765</v>
      </c>
    </row>
    <row r="234" spans="1:88">
      <c r="A234" t="s">
        <v>314</v>
      </c>
      <c r="C234" s="5">
        <f t="shared" ref="C234:C236" si="25">AVERAGEIF($B$180:$B$229,A234,$C$180:$C$229)</f>
        <v>1.0231694365277102</v>
      </c>
      <c r="D234" s="15">
        <f t="shared" si="24"/>
        <v>4.6431818181818185E-2</v>
      </c>
      <c r="E234" s="3"/>
      <c r="F234" s="3" cm="1">
        <f t="array" ref="F234">SUMPRODUCT(IF($B$180:$B$229=$A234,$F$180:$F$229*$T$180:$T$229))/SUMIF($B$180:$B$229,$A234,$T$180:$T$229)</f>
        <v>477.63904257757645</v>
      </c>
      <c r="R234" s="3" cm="1">
        <f t="array" ref="R234">SUMPRODUCT(IF($B$180:$B$229=$A234,$R$180:$R$229*$T$180:$T$229))/SUMIF($B$180:$B$229,$A234,$T$180:$T$229)</f>
        <v>568.2236387498441</v>
      </c>
      <c r="S234" s="3" cm="1">
        <f t="array" ref="S234">SUMPRODUCT(IF($B$180:$B$229=$A234,$S$180:$S$229*$T$180:$T$229))/SUMIF($B$180:$B$229,$A234,$T$180:$T$229)</f>
        <v>603.85452103220314</v>
      </c>
      <c r="U234" s="9" cm="1">
        <f t="array" ref="U234">SUMPRODUCT(IF($B$180:$B$229=$A234,$U$180:$U$229*$T$180:$T$229))/SUMIF($B$180:$B$229,$A234,$T$180:$T$229)</f>
        <v>6.6280499929716283E-2</v>
      </c>
      <c r="V234" s="80">
        <f>AVERAGEIF($B$180:$B$229,$A234,$V$180:$V$229)</f>
        <v>2.9990909090909092E-3</v>
      </c>
      <c r="W234" s="11">
        <f>AVERAGEIF($B$180:$B$229,$A234,$W$180:$W$229)</f>
        <v>1.8000000000000002E-2</v>
      </c>
      <c r="X234" s="6">
        <v>3.2575000000000003</v>
      </c>
      <c r="Y234" s="4" cm="1">
        <f t="array" ref="Y234">SUMPRODUCT(IF($B$180:$B$229=$A234,Y$180:Y$229*AA$180:AA$229))/SUMIF($B$180:$B$229,$A234,AA$180:AA$229)</f>
        <v>9.1698945084701062</v>
      </c>
      <c r="Z234" s="4" cm="1">
        <f t="array" ref="Z234">SUMPRODUCT(IF($B$180:$B$229=$A234,Z$180:Z$229*AB$180:AB$229))/SUMIF($B$180:$B$229,$A234,AB$180:AB$229)</f>
        <v>4.8389800285306706</v>
      </c>
      <c r="AA234" s="4"/>
      <c r="AB234" s="14">
        <f>AVERAGEIF($B$180:$B$229,$A234,$AB$180:$AB$229)</f>
        <v>1274.5454545454545</v>
      </c>
      <c r="AC234" s="14" cm="1">
        <f t="array" ref="AC234">SUMPRODUCT(IF($B$180:$B$229=$A234,AC$180:AC$229*AD$180:AD$229))/SUMIF($B$180:$B$229,$A234,AD$180:AD$229)</f>
        <v>54285.070491269929</v>
      </c>
      <c r="AD234" s="14"/>
      <c r="AE234" s="5">
        <f>AVERAGEIF($B$180:$B$229,$A234,$AE$180:$AE$229)</f>
        <v>1.2804606379820915</v>
      </c>
      <c r="AF234" s="14" cm="1">
        <f t="array" ref="AF234">SUMPRODUCT(IF($B$180:$B$229=$A234,AF$180:AF$229*AG$180:AG$229))/SUMIF($B$180:$B$229,$A234,AG$180:AG$229)</f>
        <v>70572.735849056597</v>
      </c>
      <c r="AG234" s="14"/>
      <c r="AH234" s="14" cm="1">
        <f t="array" ref="AH234">SUMPRODUCT(IF($B$180:$B$229=$A234,AH$180:AH$229*AI$180:AI$229))/SUMIF($B$180:$B$229,$A234,AI$180:AI$229)</f>
        <v>74961.666666666672</v>
      </c>
      <c r="AI234" s="14"/>
      <c r="AJ234" s="14" cm="1">
        <f t="array" ref="AJ234">SUMPRODUCT(IF($B$180:$B$229=$A234,AJ$180:AJ$229*AK$180:AK$229))/SUMIF($B$180:$B$229,$A234,AK$180:AK$229)</f>
        <v>68916.666666666672</v>
      </c>
      <c r="AK234" s="14"/>
      <c r="AL234" s="14" cm="1">
        <f t="array" ref="AL234">SUMPRODUCT(IF($B$180:$B$229=$A234,AL$180:AL$229*AM$180:AM$229))/SUMIF($B$180:$B$229,$A234,AM$180:AM$229)</f>
        <v>44538.169477581243</v>
      </c>
      <c r="AM234" s="14"/>
      <c r="AN234" s="14"/>
      <c r="AO234" s="14"/>
      <c r="AP234" s="14"/>
      <c r="AQ234" s="14"/>
      <c r="AR234" s="14"/>
      <c r="AS234" s="14"/>
      <c r="AT234" s="14"/>
      <c r="AU234" s="14"/>
      <c r="AV234" s="14"/>
      <c r="AW234" s="14"/>
      <c r="AX234" s="14"/>
      <c r="AY234" s="14"/>
      <c r="AZ234" s="14"/>
      <c r="BA234" s="14"/>
      <c r="BB234" s="14"/>
      <c r="BC234" s="14"/>
      <c r="BD234" s="14"/>
      <c r="BE234" s="14"/>
      <c r="BF234" s="14"/>
      <c r="BG234" s="14"/>
      <c r="BH234" s="14"/>
      <c r="BI234" s="14"/>
      <c r="BJ234" s="14"/>
      <c r="BK234" s="14"/>
      <c r="BL234" s="14"/>
      <c r="BM234" s="14"/>
      <c r="BN234" s="3" cm="1">
        <f t="array" ref="BN234">SUMPRODUCT(IF($B$180:$B$229=$A234,BN$180:BN$229*BO$180:BO$229))/SUMIF($B$180:$B$229,$A234,BO$180:BO$229)</f>
        <v>57.295389101856266</v>
      </c>
      <c r="BO234" s="3">
        <f>SUMIF($B$180:$B$229,$A234,$BO$180:$BO$229)</f>
        <v>9067</v>
      </c>
      <c r="BQ234" s="1" cm="1">
        <f t="array" ref="BQ234">SUMPRODUCT(IF($B$180:$B$229=$A234,BQ$180:BQ$229*BO$180:BO$229))/SUMIF($B$180:$B$229,$A234,BO$180:BO$229)</f>
        <v>8.2717547149001869E-3</v>
      </c>
      <c r="BR234" s="76">
        <f t="shared" si="22"/>
        <v>0.16300000000000001</v>
      </c>
      <c r="BS234" s="76">
        <f t="shared" si="22"/>
        <v>4.1181818181818181E-2</v>
      </c>
      <c r="BT234" s="76">
        <f t="shared" si="22"/>
        <v>1.2727272727272728E-2</v>
      </c>
      <c r="BU234" s="76">
        <f t="shared" si="22"/>
        <v>7.9909090909090902E-2</v>
      </c>
      <c r="BV234" s="76">
        <f t="shared" si="22"/>
        <v>2.7181818181818185E-2</v>
      </c>
      <c r="BW234" s="76"/>
      <c r="BX234" s="77"/>
      <c r="BY234" s="77"/>
      <c r="BZ234" s="77"/>
      <c r="CA234" s="77"/>
      <c r="CB234" s="77"/>
      <c r="CC234" s="77"/>
      <c r="CD234" s="77"/>
      <c r="CE234" s="4">
        <f t="shared" si="23"/>
        <v>11.666747956765425</v>
      </c>
      <c r="CF234" s="4">
        <f t="shared" si="23"/>
        <v>0.59410540900122233</v>
      </c>
      <c r="CG234" s="14">
        <f t="shared" si="23"/>
        <v>5026.9739274350568</v>
      </c>
      <c r="CH234" s="6">
        <f t="shared" si="23"/>
        <v>0.19131909295833893</v>
      </c>
    </row>
    <row r="235" spans="1:88">
      <c r="A235" t="s">
        <v>315</v>
      </c>
      <c r="C235" s="5">
        <f t="shared" si="25"/>
        <v>1.171617654196536</v>
      </c>
      <c r="D235" s="15">
        <f t="shared" si="24"/>
        <v>4.5833333333333337E-2</v>
      </c>
      <c r="E235" s="3"/>
      <c r="F235" s="3" cm="1">
        <f t="array" ref="F235">SUMPRODUCT(IF($B$180:$B$229=$A235,$F$180:$F$229*$T$180:$T$229))/SUMIF($B$180:$B$229,$A235,$T$180:$T$229)</f>
        <v>165.08486120449018</v>
      </c>
      <c r="R235" s="3" cm="1">
        <f t="array" ref="R235">SUMPRODUCT(IF($B$180:$B$229=$A235,$R$180:$R$229*$T$180:$T$229))/SUMIF($B$180:$B$229,$A235,$T$180:$T$229)</f>
        <v>411.33415908266682</v>
      </c>
      <c r="S235" s="3" cm="1">
        <f t="array" ref="S235">SUMPRODUCT(IF($B$180:$B$229=$A235,$S$180:$S$229*$T$180:$T$229))/SUMIF($B$180:$B$229,$A235,$T$180:$T$229)</f>
        <v>439.73336636330669</v>
      </c>
      <c r="U235" s="9" cm="1">
        <f t="array" ref="U235">SUMPRODUCT(IF($B$180:$B$229=$A235,$U$180:$U$229*$T$180:$T$229))/SUMIF($B$180:$B$229,$A235,$T$180:$T$229)</f>
        <v>9.5565181687148892E-2</v>
      </c>
      <c r="V235" s="80">
        <f>AVERAGEIF($B$180:$B$229,$A235,$V$180:$V$229)</f>
        <v>4.6800000000000001E-3</v>
      </c>
      <c r="W235" s="11">
        <f>AVERAGEIF($B$180:$B$229,$A235,$W$180:$W$229)</f>
        <v>5.2999999999999999E-2</v>
      </c>
      <c r="X235" s="6">
        <v>3.6216999999999997</v>
      </c>
      <c r="Y235" s="4" cm="1">
        <f t="array" ref="Y235">SUMPRODUCT(IF($B$180:$B$229=$A235,Y$180:Y$229*AA$180:AA$229))/SUMIF($B$180:$B$229,$A235,AA$180:AA$229)</f>
        <v>12.00049648565324</v>
      </c>
      <c r="Z235" s="4" cm="1">
        <f t="array" ref="Z235">SUMPRODUCT(IF($B$180:$B$229=$A235,Z$180:Z$229*AB$180:AB$229))/SUMIF($B$180:$B$229,$A235,AB$180:AB$229)</f>
        <v>5.2626494940202395</v>
      </c>
      <c r="AA235" s="4"/>
      <c r="AB235" s="14">
        <f>AVERAGEIF($B$180:$B$229,$A235,$AB$180:$AB$229)</f>
        <v>1811.6666666666667</v>
      </c>
      <c r="AC235" s="14" cm="1">
        <f t="array" ref="AC235">SUMPRODUCT(IF($B$180:$B$229=$A235,AC$180:AC$229*AD$180:AD$229))/SUMIF($B$180:$B$229,$A235,AD$180:AD$229)</f>
        <v>55781.229681404424</v>
      </c>
      <c r="AD235" s="14"/>
      <c r="AE235" s="5">
        <f>AVERAGEIF($B$180:$B$229,$A235,$AE$180:$AE$229)</f>
        <v>1.2756302521008405</v>
      </c>
      <c r="AF235" s="14" cm="1">
        <f t="array" ref="AF235">SUMPRODUCT(IF($B$180:$B$229=$A235,AF$180:AF$229*AG$180:AG$229))/SUMIF($B$180:$B$229,$A235,AG$180:AG$229)</f>
        <v>67226.832524271842</v>
      </c>
      <c r="AG235" s="14"/>
      <c r="AH235" s="14" cm="1">
        <f t="array" ref="AH235">SUMPRODUCT(IF($B$180:$B$229=$A235,AH$180:AH$229*AI$180:AI$229))/SUMIF($B$180:$B$229,$A235,AI$180:AI$229)</f>
        <v>61752.857142857145</v>
      </c>
      <c r="AI235" s="14"/>
      <c r="AJ235" s="14" cm="1">
        <f t="array" ref="AJ235">SUMPRODUCT(IF($B$180:$B$229=$A235,AJ$180:AJ$229*AK$180:AK$229))/SUMIF($B$180:$B$229,$A235,AK$180:AK$229)</f>
        <v>55156.62162162162</v>
      </c>
      <c r="AK235" s="14"/>
      <c r="AL235" s="14" cm="1">
        <f t="array" ref="AL235">SUMPRODUCT(IF($B$180:$B$229=$A235,AL$180:AL$229*AM$180:AM$229))/SUMIF($B$180:$B$229,$A235,AM$180:AM$229)</f>
        <v>45743.462803445575</v>
      </c>
      <c r="AM235" s="14"/>
      <c r="AN235" s="14"/>
      <c r="AO235" s="14"/>
      <c r="AP235" s="14"/>
      <c r="AQ235" s="14"/>
      <c r="AR235" s="14"/>
      <c r="AS235" s="14"/>
      <c r="AT235" s="14"/>
      <c r="AU235" s="14"/>
      <c r="AV235" s="14"/>
      <c r="AW235" s="14"/>
      <c r="AX235" s="14"/>
      <c r="AY235" s="14"/>
      <c r="AZ235" s="14"/>
      <c r="BA235" s="14"/>
      <c r="BB235" s="14"/>
      <c r="BC235" s="14"/>
      <c r="BD235" s="14"/>
      <c r="BE235" s="14"/>
      <c r="BF235" s="14"/>
      <c r="BG235" s="14"/>
      <c r="BH235" s="14"/>
      <c r="BI235" s="14"/>
      <c r="BJ235" s="14"/>
      <c r="BK235" s="14"/>
      <c r="BL235" s="14"/>
      <c r="BM235" s="14"/>
      <c r="BN235" s="3" cm="1">
        <f t="array" ref="BN235">SUMPRODUCT(IF($B$180:$B$229=$A235,BN$180:BN$229*BO$180:BO$229))/SUMIF($B$180:$B$229,$A235,BO$180:BO$229)</f>
        <v>54.892376241325863</v>
      </c>
      <c r="BO235" s="3">
        <f>SUMIF($B$180:$B$229,$A235,$BO$180:$BO$229)</f>
        <v>3946</v>
      </c>
      <c r="BQ235" s="1" cm="1">
        <f t="array" ref="BQ235">SUMPRODUCT(IF($B$180:$B$229=$A235,BQ$180:BQ$229*BO$180:BO$229))/SUMIF($B$180:$B$229,$A235,BO$180:BO$229)</f>
        <v>1.1150532184490624E-2</v>
      </c>
      <c r="BR235" s="76">
        <f t="shared" si="22"/>
        <v>0.156</v>
      </c>
      <c r="BS235" s="76">
        <f t="shared" si="22"/>
        <v>4.2000000000000003E-2</v>
      </c>
      <c r="BT235" s="76">
        <f t="shared" si="22"/>
        <v>1.1000000000000001E-2</v>
      </c>
      <c r="BU235" s="76">
        <f t="shared" si="22"/>
        <v>7.5999999999999998E-2</v>
      </c>
      <c r="BV235" s="76">
        <f t="shared" si="22"/>
        <v>2.3000000000000003E-2</v>
      </c>
      <c r="BW235" s="76"/>
      <c r="BX235" s="77"/>
      <c r="BY235" s="77"/>
      <c r="BZ235" s="77"/>
      <c r="CA235" s="77"/>
      <c r="CB235" s="77"/>
      <c r="CC235" s="77"/>
      <c r="CD235" s="77"/>
      <c r="CE235" s="4">
        <f t="shared" si="23"/>
        <v>11.623369468532948</v>
      </c>
      <c r="CF235" s="4">
        <f t="shared" si="23"/>
        <v>0.57761191170443282</v>
      </c>
      <c r="CG235" s="14">
        <f t="shared" si="23"/>
        <v>5010.9728851568107</v>
      </c>
      <c r="CH235" s="6">
        <f t="shared" si="23"/>
        <v>0.20591707774459356</v>
      </c>
    </row>
    <row r="236" spans="1:88">
      <c r="A236" t="s">
        <v>313</v>
      </c>
      <c r="C236" s="5">
        <f t="shared" si="25"/>
        <v>0.87794263877246903</v>
      </c>
      <c r="D236" s="15">
        <f t="shared" si="24"/>
        <v>5.6000000000000001E-2</v>
      </c>
      <c r="E236" s="3"/>
      <c r="F236" s="3" cm="1">
        <f t="array" ref="F236">SUMPRODUCT(IF($B$180:$B$229=$A236,$F$180:$F$229*$T$180:$T$229))/SUMIF($B$180:$B$229,$A236,$T$180:$T$229)</f>
        <v>399.75963143734123</v>
      </c>
      <c r="R236" s="3" cm="1">
        <f t="array" ref="R236">SUMPRODUCT(IF($B$180:$B$229=$A236,$R$180:$R$229*$T$180:$T$229))/SUMIF($B$180:$B$229,$A236,$T$180:$T$229)</f>
        <v>643.32244269085845</v>
      </c>
      <c r="S236" s="3" cm="1">
        <f t="array" ref="S236">SUMPRODUCT(IF($B$180:$B$229=$A236,$S$180:$S$229*$T$180:$T$229))/SUMIF($B$180:$B$229,$A236,$T$180:$T$229)</f>
        <v>680.38236132378029</v>
      </c>
      <c r="U236" s="9" cm="1">
        <f t="array" ref="U236">SUMPRODUCT(IF($B$180:$B$229=$A236,$U$180:$U$229*$T$180:$T$229))/SUMIF($B$180:$B$229,$A236,$T$180:$T$229)</f>
        <v>5.6460717092349795E-2</v>
      </c>
      <c r="V236" s="80">
        <f>AVERAGEIF($B$180:$B$229,$A236,$V$180:$V$229)</f>
        <v>3.2928571428571429E-3</v>
      </c>
      <c r="W236" s="11">
        <f>AVERAGEIF($B$180:$B$229,$A236,$W$180:$W$229)</f>
        <v>3.7999999999999999E-2</v>
      </c>
      <c r="X236" s="6">
        <v>3.0587999999999997</v>
      </c>
      <c r="Y236" s="4" cm="1">
        <f t="array" ref="Y236">SUMPRODUCT(IF($B$180:$B$229=$A236,Y$180:Y$229*AA$180:AA$229))/SUMIF($B$180:$B$229,$A236,AA$180:AA$229)</f>
        <v>17.461542240438693</v>
      </c>
      <c r="Z236" s="4" cm="1">
        <f t="array" ref="Z236">SUMPRODUCT(IF($B$180:$B$229=$A236,Z$180:Z$229*AB$180:AB$229))/SUMIF($B$180:$B$229,$A236,AB$180:AB$229)</f>
        <v>4.9910517621145374</v>
      </c>
      <c r="AA236" s="4"/>
      <c r="AB236" s="14">
        <f>AVERAGEIF($B$180:$B$229,$A236,$AB$180:$AB$229)</f>
        <v>2594.2857142857142</v>
      </c>
      <c r="AC236" s="14" cm="1">
        <f t="array" ref="AC236">SUMPRODUCT(IF($B$180:$B$229=$A236,AC$180:AC$229*AD$180:AD$229))/SUMIF($B$180:$B$229,$A236,AD$180:AD$229)</f>
        <v>49572.596138460714</v>
      </c>
      <c r="AD236" s="14"/>
      <c r="AE236" s="5">
        <f>AVERAGEIF($B$180:$B$229,$A236,$AE$180:$AE$229)</f>
        <v>1.3144266416327166</v>
      </c>
      <c r="AF236" s="14" cm="1">
        <f t="array" ref="AF236">SUMPRODUCT(IF($B$180:$B$229=$A236,AF$180:AF$229*AG$180:AG$229))/SUMIF($B$180:$B$229,$A236,AG$180:AG$229)</f>
        <v>59237.504065040652</v>
      </c>
      <c r="AG236" s="14"/>
      <c r="AH236" s="14" cm="1">
        <f t="array" ref="AH236">SUMPRODUCT(IF($B$180:$B$229=$A236,AH$180:AH$229*AI$180:AI$229))/SUMIF($B$180:$B$229,$A236,AI$180:AI$229)</f>
        <v>60536.415094339623</v>
      </c>
      <c r="AI236" s="14"/>
      <c r="AJ236" s="14" cm="1">
        <f t="array" ref="AJ236">SUMPRODUCT(IF($B$180:$B$229=$A236,AJ$180:AJ$229*AK$180:AK$229))/SUMIF($B$180:$B$229,$A236,AK$180:AK$229)</f>
        <v>59842.796296296299</v>
      </c>
      <c r="AK236" s="14"/>
      <c r="AL236" s="14" cm="1">
        <f t="array" ref="AL236">SUMPRODUCT(IF($B$180:$B$229=$A236,AL$180:AL$229*AM$180:AM$229))/SUMIF($B$180:$B$229,$A236,AM$180:AM$229)</f>
        <v>40495.336419131949</v>
      </c>
      <c r="AM236" s="14"/>
      <c r="AN236" s="14"/>
      <c r="AO236" s="14"/>
      <c r="AP236" s="14"/>
      <c r="AQ236" s="14"/>
      <c r="AR236" s="14"/>
      <c r="AS236" s="14"/>
      <c r="AT236" s="14"/>
      <c r="AU236" s="14"/>
      <c r="AV236" s="14"/>
      <c r="AW236" s="14"/>
      <c r="AX236" s="14"/>
      <c r="AY236" s="14"/>
      <c r="AZ236" s="14"/>
      <c r="BA236" s="14"/>
      <c r="BB236" s="14"/>
      <c r="BC236" s="14"/>
      <c r="BD236" s="14"/>
      <c r="BE236" s="14"/>
      <c r="BF236" s="14"/>
      <c r="BG236" s="14"/>
      <c r="BH236" s="14"/>
      <c r="BI236" s="14"/>
      <c r="BJ236" s="14"/>
      <c r="BK236" s="14"/>
      <c r="BL236" s="14"/>
      <c r="BM236" s="14"/>
      <c r="BN236" s="3" cm="1">
        <f t="array" ref="BN236">SUMPRODUCT(IF($B$180:$B$229=$A236,BN$180:BN$229*BO$180:BO$229))/SUMIF($B$180:$B$229,$A236,BO$180:BO$229)</f>
        <v>57.670315988025486</v>
      </c>
      <c r="BO236" s="3">
        <f>SUMIF($B$180:$B$229,$A236,$BO$180:$BO$229)</f>
        <v>8189</v>
      </c>
      <c r="BQ236" s="1" cm="1">
        <f t="array" ref="BQ236">SUMPRODUCT(IF($B$180:$B$229=$A236,BQ$180:BQ$229*BO$180:BO$229))/SUMIF($B$180:$B$229,$A236,BO$180:BO$229)</f>
        <v>7.3269019416290146E-3</v>
      </c>
      <c r="BR236" s="76">
        <f t="shared" si="22"/>
        <v>0.17328571428571424</v>
      </c>
      <c r="BS236" s="76">
        <f t="shared" si="22"/>
        <v>4.2857142857142851E-2</v>
      </c>
      <c r="BT236" s="76">
        <f t="shared" si="22"/>
        <v>1.6285714285714285E-2</v>
      </c>
      <c r="BU236" s="76">
        <f t="shared" si="22"/>
        <v>9.2142857142857124E-2</v>
      </c>
      <c r="BV236" s="76">
        <f t="shared" si="22"/>
        <v>2.9714285714285714E-2</v>
      </c>
      <c r="BW236" s="76"/>
      <c r="BX236" s="77"/>
      <c r="BY236" s="77"/>
      <c r="BZ236" s="77"/>
      <c r="CA236" s="77"/>
      <c r="CB236" s="77"/>
      <c r="CC236" s="77"/>
      <c r="CD236" s="77"/>
      <c r="CE236" s="4">
        <f t="shared" si="23"/>
        <v>11.435178673798008</v>
      </c>
      <c r="CF236" s="4">
        <f t="shared" si="23"/>
        <v>0.65205091744415866</v>
      </c>
      <c r="CG236" s="14">
        <f t="shared" si="23"/>
        <v>4634.8086002193204</v>
      </c>
      <c r="CH236" s="6">
        <f t="shared" si="23"/>
        <v>0.16311656355784312</v>
      </c>
    </row>
    <row r="237" spans="1:88">
      <c r="F237" s="3"/>
      <c r="R237" s="3"/>
      <c r="S237" s="3"/>
      <c r="BX237" s="3"/>
      <c r="BY237" s="3"/>
      <c r="BZ237" s="3"/>
      <c r="CA237" s="3"/>
      <c r="CB237" s="3"/>
      <c r="CC237" s="3"/>
      <c r="CD237" s="3"/>
      <c r="CE237" s="3"/>
      <c r="CF237" s="3"/>
    </row>
    <row r="238" spans="1:88">
      <c r="A238" t="s">
        <v>370</v>
      </c>
      <c r="C238" t="s">
        <v>378</v>
      </c>
      <c r="D238" t="s">
        <v>523</v>
      </c>
      <c r="F238" t="s">
        <v>1090</v>
      </c>
      <c r="R238" t="s">
        <v>1091</v>
      </c>
      <c r="S238" t="s">
        <v>1092</v>
      </c>
      <c r="U238" t="s">
        <v>447</v>
      </c>
      <c r="V238" t="s">
        <v>946</v>
      </c>
      <c r="W238" t="s">
        <v>944</v>
      </c>
      <c r="X238" t="s">
        <v>445</v>
      </c>
      <c r="Y238" t="s">
        <v>400</v>
      </c>
      <c r="Z238" t="s">
        <v>594</v>
      </c>
      <c r="AB238" t="s">
        <v>538</v>
      </c>
      <c r="AC238" t="s">
        <v>403</v>
      </c>
      <c r="AE238" t="s">
        <v>878</v>
      </c>
      <c r="AF238" t="s">
        <v>405</v>
      </c>
      <c r="AH238" t="s">
        <v>411</v>
      </c>
      <c r="AJ238" t="s">
        <v>409</v>
      </c>
      <c r="AL238" t="s">
        <v>824</v>
      </c>
      <c r="BN238" t="s">
        <v>438</v>
      </c>
      <c r="BO238" t="s">
        <v>635</v>
      </c>
      <c r="BQ238" t="s">
        <v>638</v>
      </c>
      <c r="BR238" t="s">
        <v>816</v>
      </c>
      <c r="BS238" t="s">
        <v>817</v>
      </c>
      <c r="BT238" t="s">
        <v>822</v>
      </c>
      <c r="BU238" t="s">
        <v>818</v>
      </c>
      <c r="BV238" t="s">
        <v>819</v>
      </c>
      <c r="BX238" s="3"/>
      <c r="BY238" s="3"/>
      <c r="BZ238" s="3"/>
      <c r="CA238" s="3"/>
      <c r="CB238" s="3"/>
      <c r="CC238" s="3"/>
      <c r="CD238" s="3"/>
      <c r="CE238" t="s">
        <v>928</v>
      </c>
      <c r="CF238" t="s">
        <v>981</v>
      </c>
      <c r="CG238" t="s">
        <v>938</v>
      </c>
      <c r="CH238" t="s">
        <v>939</v>
      </c>
    </row>
    <row r="239" spans="1:88">
      <c r="A239" t="s">
        <v>202</v>
      </c>
      <c r="C239" s="5">
        <v>1</v>
      </c>
      <c r="D239" s="15">
        <f>AVERAGEIF(B180:B229,"&lt;&gt;NA",D180:D229)</f>
        <v>5.2062500000000005E-2</v>
      </c>
      <c r="E239" s="3"/>
      <c r="F239" s="3" cm="1">
        <f t="array" ref="F239">SUMPRODUCT(IF($B$180:$B$229&lt;&gt;"NA",F$180:F$229*T$180:T$229))/SUMIF($B$180:$B$229,"&lt;&gt;NA",T$180:T$229)</f>
        <v>388.37620530611878</v>
      </c>
      <c r="R239" s="3">
        <f>Q177</f>
        <v>547</v>
      </c>
      <c r="S239" s="3">
        <f>Q178</f>
        <v>586</v>
      </c>
      <c r="U239" s="6">
        <v>6.8099999999999994E-2</v>
      </c>
      <c r="V239" s="80">
        <f>AVERAGE(V180:V229)</f>
        <v>3.1457999999999998E-3</v>
      </c>
      <c r="W239" s="11">
        <v>4.1000000000000002E-2</v>
      </c>
      <c r="X239" s="18">
        <v>3.2469000000000001</v>
      </c>
      <c r="Y239" s="4" cm="1">
        <f t="array" ref="Y239">SUMPRODUCT(IF($B$180:$B$229&lt;&gt;"NA",Y$180:Y$229*AA$180:AA$229))/SUMIF($B$180:$B$229,"&lt;&gt;NA",AA$180:AA$229)</f>
        <v>11.975189223672025</v>
      </c>
      <c r="Z239" s="4" cm="1">
        <f t="array" ref="Z239">SUMPRODUCT(IF($B$180:$B$229&lt;&gt;"NA",Z$180:Z$229*AA$180:AA$229))/SUMIF($B$180:$B$229,"&lt;&gt;NA",AA$180:AA$229)</f>
        <v>4.7809346598808702</v>
      </c>
      <c r="AA239" s="4"/>
      <c r="AB239" s="14">
        <v>1760</v>
      </c>
      <c r="AC239" s="14" cm="1">
        <f t="array" ref="AC239">SUMPRODUCT(IF($B$180:$B$229&lt;&gt;"NA",AC$180:AC$229*AD$180:AD$229))/SUMIF($B$180:$B$229,"&lt;&gt;NA",AD$180:AD$229)</f>
        <v>53070.288810856211</v>
      </c>
      <c r="AD239" s="14"/>
      <c r="AE239" s="5">
        <v>1.2436280254673089</v>
      </c>
      <c r="AF239" s="14" cm="1">
        <f t="array" ref="AF239">SUMPRODUCT(IF($B$180:$B$229&lt;&gt;"NA",AF$180:AF$229*AG$180:AG$229))/SUMIF($B$180:$B$229,"&lt;&gt;NA",AG$180:AG$229)</f>
        <v>64957.63222494979</v>
      </c>
      <c r="AG239" s="14"/>
      <c r="AH239" s="14" cm="1">
        <f t="array" ref="AH239">SUMPRODUCT(IF($B$180:$B$229&lt;&gt;"NA",AH$180:AH$229*AI$180:AI$229))/SUMIF($B$180:$B$229,"&lt;&gt;NA",AI$180:AI$229)</f>
        <v>60049.845201238393</v>
      </c>
      <c r="AI239" s="14"/>
      <c r="AJ239" s="14" cm="1">
        <f t="array" ref="AJ239">SUMPRODUCT(IF($B$180:$B$229&lt;&gt;"NA",AJ$180:AJ$229*AK$180:AK$229))/SUMIF($B$180:$B$229,"&lt;&gt;NA",AK$180:AK$229)</f>
        <v>57900.16112789527</v>
      </c>
      <c r="AK239" s="14"/>
      <c r="AL239" s="14" cm="1">
        <f t="array" ref="AL239">SUMPRODUCT(IF($B$180:$B$229&lt;&gt;"NA",AL$180:AL$229*AM$180:AM$229))/SUMIF($B$180:$B$229,"&lt;&gt;NA",AM$180:AM$229)</f>
        <v>43217.79345010643</v>
      </c>
      <c r="AM239" s="14"/>
      <c r="AN239" s="14"/>
      <c r="AO239" s="14"/>
      <c r="AP239" s="14"/>
      <c r="AQ239" s="14"/>
      <c r="AR239" s="14"/>
      <c r="AS239" s="14"/>
      <c r="AT239" s="14"/>
      <c r="AU239" s="14"/>
      <c r="AV239" s="14"/>
      <c r="AW239" s="14"/>
      <c r="AX239" s="14"/>
      <c r="AY239" s="14"/>
      <c r="AZ239" s="14"/>
      <c r="BA239" s="14"/>
      <c r="BB239" s="14"/>
      <c r="BC239" s="14"/>
      <c r="BD239" s="14"/>
      <c r="BE239" s="14"/>
      <c r="BF239" s="14"/>
      <c r="BG239" s="14"/>
      <c r="BH239" s="14"/>
      <c r="BI239" s="14"/>
      <c r="BJ239" s="14"/>
      <c r="BK239" s="14"/>
      <c r="BL239" s="14"/>
      <c r="BM239" s="14"/>
      <c r="BN239" s="3" cm="1">
        <f t="array" ref="BN239">SUMPRODUCT(IF($B$180:$B$229&lt;&gt;"NA",BN$180:BN$229*BO$180:BO$229))/SUMIF($B$180:$B$229,"&lt;&gt;NA",BO$180:BO$229)</f>
        <v>56.848355109629885</v>
      </c>
      <c r="BO239" s="3">
        <f>SUMIF(B180:B229,"&lt;&gt;NA",BO180:BO229)</f>
        <v>45319</v>
      </c>
      <c r="BQ239" s="1" cm="1">
        <f t="array" ref="BQ239">SUMPRODUCT(IF($B$180:$B$229&lt;&gt;"NA",BQ$180:BQ$229*BO$180:BO$229))/SUMIF($B$180:$B$229,"&lt;&gt;NA",BO$180:BO$229)</f>
        <v>8.892517487146671E-3</v>
      </c>
      <c r="BR239" s="9">
        <v>0.17499999999999999</v>
      </c>
      <c r="BS239" s="9">
        <v>4.1000000000000002E-2</v>
      </c>
      <c r="BT239" s="9">
        <f>0.016</f>
        <v>1.6E-2</v>
      </c>
      <c r="BU239" s="9">
        <v>8.5999999999999993E-2</v>
      </c>
      <c r="BV239" s="9">
        <f>0.032</f>
        <v>3.2000000000000001E-2</v>
      </c>
      <c r="BW239" s="9"/>
      <c r="BX239" s="3"/>
      <c r="BY239" s="3"/>
      <c r="BZ239" s="3"/>
      <c r="CA239" s="3"/>
      <c r="CB239" s="3"/>
      <c r="CC239" s="3"/>
      <c r="CD239" s="3"/>
      <c r="CE239" s="4">
        <f>C899</f>
        <v>11.141891630028415</v>
      </c>
      <c r="CF239" s="4">
        <f>E899</f>
        <v>0.51747783166846895</v>
      </c>
      <c r="CG239" s="14">
        <f>H899</f>
        <v>4028.2153231456896</v>
      </c>
      <c r="CH239" s="6">
        <f>F899</f>
        <v>0.1493238085238433</v>
      </c>
    </row>
    <row r="241" spans="1:86">
      <c r="A241" t="s">
        <v>377</v>
      </c>
      <c r="C241" t="s">
        <v>378</v>
      </c>
      <c r="D241" t="s">
        <v>523</v>
      </c>
      <c r="F241" t="s">
        <v>1090</v>
      </c>
      <c r="R241" t="s">
        <v>1091</v>
      </c>
      <c r="S241" t="s">
        <v>1092</v>
      </c>
      <c r="U241" t="s">
        <v>447</v>
      </c>
      <c r="V241" t="str">
        <f>"Water Rate ("&amp;B128&amp;"$/gal)"</f>
        <v>Water Rate (2024$/gal)</v>
      </c>
      <c r="W241" t="s">
        <v>944</v>
      </c>
      <c r="X241" t="s">
        <v>445</v>
      </c>
      <c r="Y241" t="s">
        <v>400</v>
      </c>
      <c r="Z241" t="s">
        <v>594</v>
      </c>
      <c r="AB241" t="s">
        <v>538</v>
      </c>
      <c r="AC241" t="s">
        <v>403</v>
      </c>
      <c r="AE241" t="s">
        <v>878</v>
      </c>
      <c r="AF241" t="s">
        <v>405</v>
      </c>
      <c r="AH241" t="s">
        <v>411</v>
      </c>
      <c r="AJ241" t="s">
        <v>409</v>
      </c>
      <c r="AL241" t="s">
        <v>824</v>
      </c>
      <c r="BN241" t="s">
        <v>438</v>
      </c>
      <c r="BO241" t="s">
        <v>635</v>
      </c>
      <c r="BQ241" t="s">
        <v>638</v>
      </c>
      <c r="BR241" t="str">
        <f>"Repair &amp; Maitenance ("&amp;$B$128&amp;"$/mi)"</f>
        <v>Repair &amp; Maitenance (2024$/mi)</v>
      </c>
      <c r="BS241" t="str">
        <f>"Tires ("&amp;$B$128&amp;"$/mi)"</f>
        <v>Tires (2024$/mi)</v>
      </c>
      <c r="BT241" t="str">
        <f>"Permits &amp; Licenses ("&amp;$B$128&amp;"$/mi)"</f>
        <v>Permits &amp; Licenses (2024$/mi)</v>
      </c>
      <c r="BU241" t="str">
        <f>"Insurance ("&amp;$B$128&amp;"$/mi)"</f>
        <v>Insurance (2024$/mi)</v>
      </c>
      <c r="BV241" t="str">
        <f>"Tolls ("&amp;$B$128&amp;"$/mi)"</f>
        <v>Tolls (2024$/mi)</v>
      </c>
      <c r="BX241" s="3"/>
      <c r="BY241" s="3"/>
      <c r="BZ241" s="3"/>
      <c r="CA241" s="3"/>
      <c r="CB241" s="3"/>
      <c r="CC241" s="3"/>
      <c r="CD241" s="3"/>
      <c r="CE241" t="s">
        <v>928</v>
      </c>
      <c r="CF241" t="s">
        <v>928</v>
      </c>
      <c r="CG241" t="str">
        <f>"Rail Base Rate ("&amp;$B$128&amp;"$/car)"</f>
        <v>Rail Base Rate (2024$/car)</v>
      </c>
      <c r="CH241" t="str">
        <f>"Rail Fuel Surcharge ("&amp;$B$128&amp;"$/mi)"</f>
        <v>Rail Fuel Surcharge (2024$/mi)</v>
      </c>
    </row>
    <row r="242" spans="1:86">
      <c r="A242" s="34" t="str">
        <f>'User Interface'!B7</f>
        <v>USA</v>
      </c>
      <c r="C242" s="5">
        <f>IF('User Interface'!$B$6=Options!$S$4,Calculations!C$239,IF('User Interface'!$B$6=Options!$S$5,LOOKUP('User Interface'!$B$7,Calculations!$A$232:$A$236,Calculations!C$232:C$236),LOOKUP('User Interface'!$B$7,Calculations!$A$180:$A$229,Calculations!C$180:C$229)))</f>
        <v>1</v>
      </c>
      <c r="D242" s="15">
        <f>IF('User Interface'!$B$6=Options!$S$4,Calculations!D$239,IF('User Interface'!$B$6=Options!$S$5,LOOKUP('User Interface'!$B$7,Calculations!$A$232:$A$236,Calculations!D$232:D$236),LOOKUP('User Interface'!$B$7,Calculations!$A$180:$A$229,Calculations!D$180:D$229)))</f>
        <v>5.2062500000000005E-2</v>
      </c>
      <c r="F242" s="3">
        <f>IF('User Interface'!$B$6=Options!$S$4,Calculations!F$239,IF('User Interface'!$B$6=Options!$S$5,LOOKUP('User Interface'!$B$7,Calculations!$A$232:$A$236,Calculations!F$232:F$236),LOOKUP('User Interface'!$B$7,Calculations!$A$180:$A$229,Calculations!F$180:F$229)))</f>
        <v>388.37620530611878</v>
      </c>
      <c r="R242" s="3">
        <f>IF('User Interface'!$B$6=Options!$S$4,Calculations!R$239,IF('User Interface'!$B$6=Options!$S$5,LOOKUP('User Interface'!$B$7,Calculations!$A$232:$A$236,Calculations!R$232:R$236),LOOKUP('User Interface'!$B$7,Calculations!$A$180:$A$229,Calculations!R$180:R$229)))</f>
        <v>547</v>
      </c>
      <c r="S242" s="3">
        <f>IF('User Interface'!$B$6=Options!$S$4,Calculations!S$239,IF('User Interface'!$B$6=Options!$S$5,LOOKUP('User Interface'!$B$7,Calculations!$A$232:$A$236,Calculations!S$232:S$236),LOOKUP('User Interface'!$B$7,Calculations!$A$180:$A$229,Calculations!S$180:S$229)))</f>
        <v>586</v>
      </c>
      <c r="T242" s="3"/>
      <c r="U242" s="6">
        <f>IF('User Interface'!$B$6=Options!$S$4,Calculations!U$239,IF('User Interface'!$B$6=Options!$S$5,LOOKUP('User Interface'!$B$7,Calculations!$A$232:$A$236,Calculations!U$232:U$236),LOOKUP('User Interface'!$B$7,Calculations!$A$180:$A$229,Calculations!U$180:U$229)))*B150</f>
        <v>7.630013045117541E-2</v>
      </c>
      <c r="V242" s="80">
        <f>IF('User Interface'!$B$6=Options!$S$4,Calculations!V$239,IF('User Interface'!$B$6=Options!$S$5,LOOKUP('User Interface'!$B$7,Calculations!$A$232:$A$236,Calculations!V$232:V$236),LOOKUP('User Interface'!$B$7,Calculations!$A$180:$A$229,Calculations!V$180:V$229)))*((1+W242)^($B$128-2015))</f>
        <v>4.5163508627189862E-3</v>
      </c>
      <c r="W242" s="11">
        <f>IF('User Interface'!$B$6=Options!$S$4,Calculations!W$239,IF('User Interface'!$B$6=Options!$S$5,LOOKUP('User Interface'!$B$7,Calculations!$A$232:$A$236,Calculations!W$232:W$236),LOOKUP('User Interface'!$B$7,Calculations!$A$180:$A$229,Calculations!W$180:W$229)))</f>
        <v>4.1000000000000002E-2</v>
      </c>
      <c r="X242" s="6">
        <f>IF('User Interface'!$B$6=Options!$S$4,Calculations!X$239,IF('User Interface'!$B$6=Options!$S$5,LOOKUP('User Interface'!$B$7,Calculations!$A$232:$A$236,Calculations!X$232:X$236),LOOKUP('User Interface'!$B$7,Calculations!$A$180:$A$229,Calculations!X$180:X$229)))*B153</f>
        <v>3.3979750100999997</v>
      </c>
      <c r="Y242" s="4">
        <f>IF('User Interface'!$B$6=Options!$S$4,Calculations!Y$239,IF('User Interface'!$B$6=Options!$S$5,LOOKUP('User Interface'!$B$7,Calculations!$A$232:$A$236,Calculations!Y$232:Y$236),LOOKUP('User Interface'!$B$7,Calculations!$A$180:$A$229,Calculations!Y$180:Y$229)))</f>
        <v>11.975189223672025</v>
      </c>
      <c r="Z242" s="4">
        <f>IF('User Interface'!$B$6=Options!$S$4,Calculations!Z$239,IF('User Interface'!$B$6=Options!$S$5,LOOKUP('User Interface'!$B$7,Calculations!$A$232:$A$236,Calculations!Z$232:Z$236),LOOKUP('User Interface'!$B$7,Calculations!$A$180:$A$229,Calculations!Z$180:Z$229)))</f>
        <v>4.7809346598808702</v>
      </c>
      <c r="AA242" s="4"/>
      <c r="AB242" s="14">
        <f>IF('User Interface'!$B$6=Options!$S$4,Calculations!AB$239,IF('User Interface'!$B$6=Options!$S$5,LOOKUP('User Interface'!$B$7,Calculations!$A$232:$A$236,Calculations!AB$232:AB$236),LOOKUP('User Interface'!$B$7,Calculations!$A$180:$A$229,Calculations!AB$180:AB$229)))</f>
        <v>1760</v>
      </c>
      <c r="AC242" s="14">
        <f>IF('User Interface'!$B$6=Options!$S$4,Calculations!AC$239,IF('User Interface'!$B$6=Options!$S$5,LOOKUP('User Interface'!$B$7,Calculations!$A$232:$A$236,Calculations!AC$232:AC$236),LOOKUP('User Interface'!$B$7,Calculations!$A$180:$A$229,Calculations!AC$180:AC$229)))*B153</f>
        <v>55539.596278936529</v>
      </c>
      <c r="AD242" s="14"/>
      <c r="AE242" s="5">
        <f>IF('User Interface'!$B$6=Options!$S$4,Calculations!AE$239,IF('User Interface'!$B$6=Options!$S$5,LOOKUP('User Interface'!$B$7,Calculations!$A$232:$A$236,Calculations!AE$232:AE$236),LOOKUP('User Interface'!$B$7,Calculations!$A$180:$A$229,Calculations!AE$180:AE$229)))</f>
        <v>1.2436280254673089</v>
      </c>
      <c r="AF242" s="14">
        <f>IF('User Interface'!$B$6=Options!$S$4,Calculations!AF$239,IF('User Interface'!$B$6=Options!$S$5,LOOKUP('User Interface'!$B$7,Calculations!$A$232:$A$236,Calculations!AF$232:AF$236),LOOKUP('User Interface'!$B$7,Calculations!$A$180:$A$229,Calculations!AF$180:AF$229)))*B153</f>
        <v>67980.045894744471</v>
      </c>
      <c r="AG242" s="14"/>
      <c r="AH242" s="14">
        <f>IF('User Interface'!$B$6=Options!$S$4,Calculations!AH$239,IF('User Interface'!$B$6=Options!$S$5,LOOKUP('User Interface'!$B$7,Calculations!$A$232:$A$236,Calculations!AH$232:AH$236),LOOKUP('User Interface'!$B$7,Calculations!$A$180:$A$229,Calculations!AH$180:AH$229)))*B153</f>
        <v>62843.904448606801</v>
      </c>
      <c r="AI242" s="14"/>
      <c r="AJ242" s="14">
        <f>IF('User Interface'!$B$6=Options!$S$4,Calculations!AJ$239,IF('User Interface'!$B$6=Options!$S$5,LOOKUP('User Interface'!$B$7,Calculations!$A$232:$A$236,Calculations!AJ$232:AJ$236),LOOKUP('User Interface'!$B$7,Calculations!$A$180:$A$229,Calculations!AJ$180:AJ$229)))*B153</f>
        <v>60594.197725015096</v>
      </c>
      <c r="AK242" s="14"/>
      <c r="AL242" s="14">
        <f>IF('User Interface'!$B$6=Options!$S$4,Calculations!AL$239,IF('User Interface'!$B$6=Options!$S$5,LOOKUP('User Interface'!$B$7,Calculations!$A$232:$A$236,Calculations!AL$232:AL$236),LOOKUP('User Interface'!$B$7,Calculations!$A$180:$A$229,Calculations!AL$180:AL$229)))*B153</f>
        <v>45228.674161546427</v>
      </c>
      <c r="AM242" s="14"/>
      <c r="AN242" s="14"/>
      <c r="AO242" s="14"/>
      <c r="AP242" s="14"/>
      <c r="AQ242" s="14"/>
      <c r="AR242" s="14"/>
      <c r="AS242" s="14"/>
      <c r="AT242" s="14"/>
      <c r="AU242" s="14"/>
      <c r="AV242" s="14"/>
      <c r="AW242" s="14"/>
      <c r="AX242" s="14"/>
      <c r="AY242" s="14"/>
      <c r="AZ242" s="14"/>
      <c r="BA242" s="14"/>
      <c r="BB242" s="14"/>
      <c r="BC242" s="14"/>
      <c r="BD242" s="14"/>
      <c r="BE242" s="14"/>
      <c r="BF242" s="14"/>
      <c r="BG242" s="14"/>
      <c r="BH242" s="14"/>
      <c r="BI242" s="14"/>
      <c r="BJ242" s="14"/>
      <c r="BK242" s="14"/>
      <c r="BL242" s="14"/>
      <c r="BM242" s="14"/>
      <c r="BN242" s="3">
        <f>IF('User Interface'!$B$6=Options!$S$4,Calculations!BN$239,IF('User Interface'!$B$6=Options!$S$5,LOOKUP('User Interface'!$B$7,Calculations!$A$232:$A$236,Calculations!BN$232:BN$236),LOOKUP('User Interface'!$B$7,Calculations!$A$180:$A$229,Calculations!BN$180:BN$229)))</f>
        <v>56.848355109629885</v>
      </c>
      <c r="BO242" s="3">
        <f>IF('User Interface'!$B$6=Options!$S$4,Calculations!BO$239,IF('User Interface'!$B$6=Options!$S$5,LOOKUP('User Interface'!$B$7,Calculations!$A$232:$A$236,Calculations!BO$232:BO$236),LOOKUP('User Interface'!$B$7,Calculations!$A$180:$A$229,Calculations!BO$180:BO$229)))</f>
        <v>45319</v>
      </c>
      <c r="BP242" s="3"/>
      <c r="BQ242" s="1">
        <f>IF('User Interface'!$B$6=Options!$S$4,Calculations!BQ$239,IF('User Interface'!$B$6=Options!$S$5,LOOKUP('User Interface'!$B$7,Calculations!$A$232:$A$236,Calculations!BQ$232:BQ$236),LOOKUP('User Interface'!$B$7,Calculations!$A$180:$A$229,Calculations!BQ$180:BQ$229)))</f>
        <v>8.892517487146671E-3</v>
      </c>
      <c r="BR242" s="9">
        <f>IF('User Interface'!$B$6=Options!$S$4,Calculations!BR$239,IF('User Interface'!$B$6=Options!$S$5,LOOKUP('User Interface'!$B$7,Calculations!$A$232:$A$236,Calculations!BR$232:BR$236),LOOKUP('User Interface'!$B$7,Calculations!$A$180:$A$229,Calculations!BR$180:BR$229)))*$B$152</f>
        <v>0.18735485422499992</v>
      </c>
      <c r="BS242" s="9">
        <f>IF('User Interface'!$B$6=Options!$S$4,Calculations!BS$239,IF('User Interface'!$B$6=Options!$S$5,LOOKUP('User Interface'!$B$7,Calculations!$A$232:$A$236,Calculations!BS$232:BS$236),LOOKUP('User Interface'!$B$7,Calculations!$A$180:$A$229,Calculations!BS$180:BS$229)))*$B$152</f>
        <v>4.3894565846999987E-2</v>
      </c>
      <c r="BT242" s="9">
        <f>IF('User Interface'!$B$6=Options!$S$4,Calculations!BT$239,IF('User Interface'!$B$6=Options!$S$5,LOOKUP('User Interface'!$B$7,Calculations!$A$232:$A$236,Calculations!BT$232:BT$236),LOOKUP('User Interface'!$B$7,Calculations!$A$180:$A$229,Calculations!BT$180:BT$229)))*$B$152</f>
        <v>1.7129586671999996E-2</v>
      </c>
      <c r="BU242" s="9">
        <f>IF('User Interface'!$B$6=Options!$S$4,Calculations!BU$239,IF('User Interface'!$B$6=Options!$S$5,LOOKUP('User Interface'!$B$7,Calculations!$A$232:$A$236,Calculations!BU$232:BU$236),LOOKUP('User Interface'!$B$7,Calculations!$A$180:$A$229,Calculations!BU$180:BU$229)))*$B$152</f>
        <v>9.2071528361999971E-2</v>
      </c>
      <c r="BV242" s="9">
        <f>IF('User Interface'!$B$6=Options!$S$4,Calculations!BV$239,IF('User Interface'!$B$6=Options!$S$5,LOOKUP('User Interface'!$B$7,Calculations!$A$232:$A$236,Calculations!BV$232:BV$236),LOOKUP('User Interface'!$B$7,Calculations!$A$180:$A$229,Calculations!BV$180:BV$229)))*$B$152</f>
        <v>3.4259173343999992E-2</v>
      </c>
      <c r="BW242" s="9"/>
      <c r="BX242" s="3"/>
      <c r="BY242" s="3"/>
      <c r="BZ242" s="3"/>
      <c r="CA242" s="3"/>
      <c r="CB242" s="3"/>
      <c r="CC242" s="3"/>
      <c r="CD242" s="3"/>
      <c r="CE242" s="4">
        <f>IF('User Interface'!$B$6=Options!$S$4,Calculations!CE$239,IF('User Interface'!$B$6=Options!$S$5,LOOKUP('User Interface'!$B$7,Calculations!$A$232:$A$236,Calculations!CE$232:CE$236),LOOKUP('User Interface'!$B$7,Calculations!$A$180:$A$229,Calculations!CE$180:CE$229)))</f>
        <v>11.141891630028415</v>
      </c>
      <c r="CF242" s="4">
        <f>IF('User Interface'!$B$6=Options!$S$4,Calculations!CF$239,IF('User Interface'!$B$6=Options!$S$5,LOOKUP('User Interface'!$B$7,Calculations!$A$232:$A$236,Calculations!CF$232:CF$236),LOOKUP('User Interface'!$B$7,Calculations!$A$180:$A$229,Calculations!CF$180:CF$229)))</f>
        <v>0.51747783166846895</v>
      </c>
      <c r="CG242" s="14">
        <f>IF('User Interface'!$B$6=Options!$S$4,Calculations!CG$239,IF('User Interface'!$B$6=Options!$S$5,LOOKUP('User Interface'!$B$7,Calculations!$A$232:$A$236,Calculations!CG$232:CG$236),LOOKUP('User Interface'!$B$7,Calculations!$A$180:$A$229,Calculations!CG$180:CG$229)))*$B$150</f>
        <v>4513.2651195512462</v>
      </c>
      <c r="CH242" s="6">
        <f>IF('User Interface'!$B$6=Options!$S$4,Calculations!CH$239,IF('User Interface'!$B$6=Options!$S$5,LOOKUP('User Interface'!$B$7,Calculations!$A$232:$A$236,Calculations!CH$232:CH$236),LOOKUP('User Interface'!$B$7,Calculations!$A$180:$A$229,Calculations!CH$180:CH$229)))*$B$150</f>
        <v>0.16730434757467819</v>
      </c>
    </row>
    <row r="243" spans="1:86">
      <c r="C243" s="5"/>
      <c r="D243" s="15"/>
      <c r="F243" s="3"/>
      <c r="G243" s="3"/>
      <c r="H243" s="6"/>
      <c r="I243" s="80"/>
      <c r="J243" s="6"/>
      <c r="K243" s="6"/>
      <c r="L243" s="4"/>
      <c r="M243" s="4"/>
      <c r="N243" s="4"/>
      <c r="O243" s="14"/>
      <c r="P243" s="14"/>
      <c r="Q243" s="14"/>
      <c r="R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14"/>
      <c r="AR243" s="14"/>
      <c r="AS243" s="14"/>
      <c r="AT243" s="14"/>
      <c r="AU243" s="14"/>
      <c r="AV243" s="14"/>
      <c r="AW243" s="14"/>
      <c r="AX243" s="14"/>
      <c r="AY243" s="14"/>
      <c r="AZ243" s="14"/>
      <c r="BA243" s="14"/>
      <c r="BB243" s="3"/>
      <c r="BC243" s="3"/>
      <c r="BD243" s="3"/>
      <c r="BE243" s="1"/>
      <c r="BF243" s="9"/>
      <c r="BG243" s="9"/>
      <c r="BH243" s="9"/>
      <c r="BI243" s="9"/>
      <c r="BJ243" s="9"/>
      <c r="BK243" s="9"/>
      <c r="BL243" s="9"/>
      <c r="BM243" s="9"/>
      <c r="BN243" s="9"/>
      <c r="BO243" s="9"/>
      <c r="BP243" s="9"/>
      <c r="BQ243" s="9"/>
      <c r="BR243" s="9"/>
      <c r="BS243" s="9"/>
      <c r="BT243" s="9"/>
    </row>
    <row r="244" spans="1:86" s="30" customFormat="1">
      <c r="A244" s="30" t="s">
        <v>902</v>
      </c>
      <c r="C244" s="37"/>
      <c r="D244" s="63"/>
      <c r="F244" s="39"/>
      <c r="G244" s="39"/>
      <c r="H244" s="64"/>
      <c r="I244" s="64"/>
      <c r="J244" s="64"/>
      <c r="K244" s="64"/>
      <c r="L244" s="40"/>
      <c r="M244" s="40"/>
      <c r="N244" s="4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0"/>
      <c r="AU244" s="50"/>
      <c r="AV244" s="50"/>
      <c r="AW244" s="50"/>
      <c r="AX244" s="50"/>
      <c r="AY244" s="50"/>
      <c r="AZ244" s="50"/>
      <c r="BA244" s="39"/>
      <c r="BB244" s="39"/>
      <c r="BC244" s="39"/>
      <c r="BD244" s="65"/>
      <c r="BE244" s="66"/>
      <c r="BF244" s="66"/>
      <c r="BG244" s="66"/>
      <c r="BH244" s="66"/>
      <c r="BI244" s="66"/>
      <c r="BJ244" s="66"/>
      <c r="BK244" s="66"/>
      <c r="BL244" s="66"/>
      <c r="BM244" s="66"/>
      <c r="BN244" s="66"/>
      <c r="BO244" s="66"/>
      <c r="BP244" s="66"/>
      <c r="BQ244" s="66"/>
      <c r="BR244" s="66"/>
      <c r="BS244" s="66"/>
    </row>
    <row r="245" spans="1:86">
      <c r="A245" t="s">
        <v>390</v>
      </c>
      <c r="B245" s="34" t="str">
        <f>IF('User Interface'!$B$18=Options!$Y$4,"No","Yes")</f>
        <v>Yes</v>
      </c>
      <c r="N245" s="6"/>
      <c r="O245" s="6"/>
    </row>
    <row r="246" spans="1:86">
      <c r="A246" t="s">
        <v>384</v>
      </c>
      <c r="B246" s="34">
        <f>'User Interface'!B19</f>
        <v>2050</v>
      </c>
    </row>
    <row r="247" spans="1:86">
      <c r="A247" t="s">
        <v>393</v>
      </c>
      <c r="B247" s="3">
        <f>IF(B245="No",0,IF('User Interface'!$B$20=Options!$AA$4,-R242/(B246-B176),-S242/(B246-B176)))</f>
        <v>-18.903225806451612</v>
      </c>
      <c r="C247" t="s">
        <v>394</v>
      </c>
    </row>
    <row r="248" spans="1:86">
      <c r="A248" t="s">
        <v>391</v>
      </c>
      <c r="B248">
        <f>$B$11+$B$12</f>
        <v>2026</v>
      </c>
    </row>
    <row r="249" spans="1:86">
      <c r="A249" t="s">
        <v>387</v>
      </c>
      <c r="B249" t="str">
        <f>IF(B248&gt;=B246,"Yes","No")</f>
        <v>No</v>
      </c>
    </row>
    <row r="250" spans="1:86">
      <c r="A250" t="s">
        <v>395</v>
      </c>
      <c r="B250" s="3">
        <f>IF(B249="Yes",0,IF('User Interface'!$B$20=Options!$AA$4,($B$247*(B248-$B$176))+$R$242,($B$247*(B248-$B$176))+$S$242))</f>
        <v>453.67741935483872</v>
      </c>
      <c r="C250" t="s">
        <v>60</v>
      </c>
    </row>
    <row r="251" spans="1:86">
      <c r="A251" t="s">
        <v>392</v>
      </c>
      <c r="B251">
        <f>B248+B9</f>
        <v>2056</v>
      </c>
    </row>
    <row r="252" spans="1:86">
      <c r="A252" t="s">
        <v>388</v>
      </c>
      <c r="B252" t="str">
        <f>IF(B251&gt;=B246,"Yes","No")</f>
        <v>Yes</v>
      </c>
    </row>
    <row r="253" spans="1:86">
      <c r="A253" t="s">
        <v>396</v>
      </c>
      <c r="B253" s="3">
        <f>IF(B252="Yes",0,IF('User Interface'!$B$20=Options!$AA$4,($B$247*(B251-$B$176))+$R$242,($B$247*(B251-$B$176))+$S$242))</f>
        <v>0</v>
      </c>
      <c r="C253" t="s">
        <v>60</v>
      </c>
    </row>
    <row r="254" spans="1:86">
      <c r="A254" t="s">
        <v>397</v>
      </c>
      <c r="B254" s="15">
        <f>IF(B245="No",1,IF(B249="Yes",0,IF(B252="No",1,(B246-B248)/(B251-B248))))</f>
        <v>0.8</v>
      </c>
    </row>
    <row r="255" spans="1:86">
      <c r="A255" t="s">
        <v>389</v>
      </c>
      <c r="B255" s="3">
        <f>IF(B245="No",IF('User Interface'!$B$20=Options!$AA$4,$R$242,$S$242),IF($B$249="Yes",0,IF($B$252="No",AVERAGE(B250,B253),(B250/2)*B254)))</f>
        <v>181.47096774193551</v>
      </c>
      <c r="C255" t="s">
        <v>60</v>
      </c>
      <c r="D255" s="15"/>
      <c r="F255" s="3"/>
      <c r="G255" s="3"/>
      <c r="H255" s="6"/>
      <c r="I255" s="6"/>
      <c r="J255" s="6"/>
      <c r="K255" s="6"/>
      <c r="L255" s="4"/>
      <c r="M255" s="4"/>
      <c r="N255" s="4"/>
      <c r="O255" s="14"/>
      <c r="P255" s="14"/>
      <c r="Q255" s="14"/>
      <c r="R255" s="14"/>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14"/>
      <c r="AR255" s="14"/>
      <c r="AS255" s="14"/>
      <c r="AT255" s="14"/>
      <c r="AU255" s="14"/>
      <c r="AV255" s="14"/>
      <c r="AW255" s="14"/>
      <c r="AX255" s="14"/>
      <c r="AY255" s="14"/>
      <c r="AZ255" s="14"/>
      <c r="BA255" s="3"/>
      <c r="BB255" s="3"/>
      <c r="BC255" s="3"/>
      <c r="BD255" s="1"/>
      <c r="BE255" s="9"/>
      <c r="BF255" s="9"/>
      <c r="BG255" s="9"/>
      <c r="BH255" s="9"/>
      <c r="BI255" s="9"/>
      <c r="BJ255" s="9"/>
      <c r="BK255" s="9"/>
      <c r="BL255" s="9"/>
      <c r="BM255" s="9"/>
      <c r="BN255" s="9"/>
      <c r="BO255" s="9"/>
      <c r="BP255" s="9"/>
      <c r="BQ255" s="9"/>
      <c r="BR255" s="9"/>
      <c r="BS255" s="9"/>
    </row>
    <row r="257" spans="1:20" s="30" customFormat="1">
      <c r="A257" s="30" t="s">
        <v>1045</v>
      </c>
      <c r="C257" s="37"/>
      <c r="D257" s="63"/>
      <c r="F257" s="39"/>
      <c r="G257" s="39"/>
      <c r="H257" s="64"/>
      <c r="I257" s="64"/>
      <c r="J257" s="64"/>
      <c r="K257" s="64"/>
      <c r="L257" s="40"/>
      <c r="M257" s="40"/>
      <c r="N257" s="40"/>
      <c r="O257" s="50"/>
      <c r="P257" s="50"/>
      <c r="Q257" s="50"/>
      <c r="R257" s="50"/>
      <c r="S257" s="50"/>
      <c r="T257" s="50"/>
    </row>
    <row r="258" spans="1:20">
      <c r="A258" t="s">
        <v>1190</v>
      </c>
      <c r="B258" s="15">
        <v>0.85</v>
      </c>
      <c r="C258" s="5"/>
      <c r="D258" s="15"/>
      <c r="F258" s="3"/>
      <c r="G258" s="3"/>
      <c r="H258" s="6"/>
      <c r="I258" s="6"/>
      <c r="J258" s="6"/>
      <c r="K258" s="6"/>
      <c r="L258" s="4"/>
      <c r="M258" s="4"/>
      <c r="N258" s="4"/>
      <c r="O258" s="14"/>
      <c r="P258" s="14"/>
      <c r="Q258" s="14"/>
      <c r="R258" s="14"/>
      <c r="S258" s="14"/>
      <c r="T258" s="14"/>
    </row>
    <row r="259" spans="1:20">
      <c r="A259" t="s">
        <v>1050</v>
      </c>
      <c r="B259" s="3">
        <f>(B6*1000)/B258</f>
        <v>40262.511575472075</v>
      </c>
      <c r="C259" s="5" t="s">
        <v>1046</v>
      </c>
      <c r="D259" s="15"/>
      <c r="F259" s="3"/>
      <c r="G259" s="3"/>
      <c r="H259" s="6"/>
      <c r="I259" s="6"/>
      <c r="J259" s="6"/>
      <c r="K259" s="6"/>
      <c r="L259" s="4"/>
      <c r="M259" s="4"/>
      <c r="N259" s="4"/>
      <c r="O259" s="14"/>
      <c r="P259" s="14"/>
      <c r="Q259" s="14"/>
      <c r="R259" s="14"/>
      <c r="S259" s="14"/>
      <c r="T259" s="14"/>
    </row>
    <row r="260" spans="1:20">
      <c r="B260" s="3">
        <f>B259/B100</f>
        <v>914.86994877120765</v>
      </c>
      <c r="C260" s="5" t="s">
        <v>1051</v>
      </c>
      <c r="D260" s="15"/>
      <c r="F260" s="3"/>
      <c r="G260" s="3"/>
      <c r="H260" s="6"/>
      <c r="I260" s="6"/>
      <c r="J260" s="6"/>
      <c r="K260" s="6"/>
      <c r="L260" s="4"/>
      <c r="M260" s="4"/>
      <c r="N260" s="4"/>
      <c r="O260" s="14"/>
      <c r="P260" s="14"/>
      <c r="Q260" s="14"/>
      <c r="R260" s="14"/>
      <c r="S260" s="14"/>
      <c r="T260" s="14"/>
    </row>
    <row r="261" spans="1:20">
      <c r="A261" t="s">
        <v>1043</v>
      </c>
      <c r="B261">
        <f>B8</f>
        <v>500</v>
      </c>
      <c r="C261" t="str">
        <f>C8</f>
        <v>ppm-mol</v>
      </c>
      <c r="D261" s="15"/>
      <c r="F261" s="3"/>
      <c r="G261" s="3"/>
      <c r="H261" s="6"/>
      <c r="I261" s="6"/>
      <c r="J261" s="6"/>
      <c r="K261" s="6"/>
      <c r="L261" s="4"/>
      <c r="M261" s="4"/>
      <c r="N261" s="4"/>
      <c r="O261" s="14"/>
      <c r="P261" s="14"/>
      <c r="Q261" s="14"/>
      <c r="R261" s="14"/>
      <c r="S261" s="14"/>
      <c r="T261" s="14"/>
    </row>
    <row r="262" spans="1:20">
      <c r="B262" s="204">
        <f>B261/1000000</f>
        <v>5.0000000000000001E-4</v>
      </c>
      <c r="C262" t="s">
        <v>1052</v>
      </c>
      <c r="D262" s="15"/>
      <c r="F262" s="3"/>
      <c r="G262" s="3"/>
      <c r="H262" s="6"/>
      <c r="I262" s="6"/>
      <c r="J262" s="6"/>
      <c r="K262" s="6"/>
      <c r="L262" s="4"/>
      <c r="M262" s="4"/>
      <c r="N262" s="4"/>
      <c r="O262" s="14"/>
      <c r="P262" s="14"/>
      <c r="Q262" s="14"/>
      <c r="R262" s="14"/>
      <c r="S262" s="14"/>
      <c r="T262" s="14"/>
    </row>
    <row r="263" spans="1:20">
      <c r="A263" t="s">
        <v>1059</v>
      </c>
      <c r="B263" s="3">
        <f>1000000-B261</f>
        <v>999500</v>
      </c>
      <c r="C263" t="s">
        <v>1048</v>
      </c>
      <c r="D263" s="15"/>
      <c r="F263" s="3"/>
      <c r="G263" s="3"/>
      <c r="H263" s="6"/>
      <c r="I263" s="6"/>
      <c r="J263" s="6"/>
      <c r="K263" s="6"/>
      <c r="L263" s="4"/>
      <c r="M263" s="4"/>
      <c r="N263" s="4"/>
      <c r="O263" s="14"/>
      <c r="P263" s="14"/>
      <c r="Q263" s="14"/>
      <c r="R263" s="14"/>
      <c r="S263" s="14"/>
      <c r="T263" s="14"/>
    </row>
    <row r="264" spans="1:20">
      <c r="A264" t="s">
        <v>1055</v>
      </c>
      <c r="B264" s="3">
        <v>70</v>
      </c>
      <c r="C264" t="s">
        <v>1048</v>
      </c>
      <c r="D264" s="15"/>
      <c r="F264" s="3"/>
      <c r="G264" s="3"/>
      <c r="H264" s="6"/>
      <c r="I264" s="6"/>
      <c r="J264" s="6"/>
      <c r="K264" s="6"/>
      <c r="L264" s="4"/>
      <c r="M264" s="4"/>
      <c r="N264" s="4"/>
      <c r="O264" s="14"/>
      <c r="P264" s="14"/>
      <c r="Q264" s="14"/>
      <c r="R264" s="14"/>
      <c r="S264" s="14"/>
      <c r="T264" s="14"/>
    </row>
    <row r="265" spans="1:20">
      <c r="B265" s="204">
        <f>B264/1000000</f>
        <v>6.9999999999999994E-5</v>
      </c>
      <c r="C265" t="s">
        <v>1052</v>
      </c>
      <c r="D265" s="15"/>
      <c r="F265" s="3"/>
      <c r="G265" s="3"/>
      <c r="H265" s="6"/>
      <c r="I265" s="6"/>
      <c r="J265" s="6"/>
      <c r="K265" s="6"/>
      <c r="L265" s="4"/>
      <c r="M265" s="4"/>
      <c r="N265" s="4"/>
      <c r="O265" s="14"/>
      <c r="P265" s="14"/>
      <c r="Q265" s="14"/>
      <c r="R265" s="14"/>
      <c r="S265" s="14"/>
      <c r="T265" s="14"/>
    </row>
    <row r="266" spans="1:20">
      <c r="A266" t="s">
        <v>1058</v>
      </c>
      <c r="B266" s="3">
        <f>IF(B261&lt;=B264,0,(B261-(B261*B265)-(B263*B265))/(1-B265))</f>
        <v>430.03010210714751</v>
      </c>
      <c r="C266" t="s">
        <v>1048</v>
      </c>
      <c r="D266" s="3"/>
      <c r="E266" s="205"/>
      <c r="F266" s="3"/>
      <c r="G266" s="3"/>
      <c r="H266" s="6"/>
      <c r="I266" s="6"/>
      <c r="J266" s="6"/>
      <c r="K266" s="6"/>
      <c r="L266" s="4"/>
      <c r="M266" s="4"/>
      <c r="N266" s="4"/>
      <c r="O266" s="14"/>
      <c r="P266" s="14"/>
      <c r="Q266" s="14"/>
      <c r="R266" s="14"/>
      <c r="S266" s="14"/>
      <c r="T266" s="14"/>
    </row>
    <row r="267" spans="1:20">
      <c r="A267" t="s">
        <v>1057</v>
      </c>
      <c r="B267" s="4">
        <f>B260*(B266/B263)</f>
        <v>0.39361842669819236</v>
      </c>
      <c r="C267" s="5" t="s">
        <v>1053</v>
      </c>
      <c r="D267" s="15"/>
      <c r="F267" s="3"/>
      <c r="G267" s="3"/>
      <c r="H267" s="6"/>
      <c r="I267" s="6"/>
      <c r="J267" s="6"/>
      <c r="K267" s="6"/>
      <c r="L267" s="4"/>
      <c r="M267" s="4"/>
      <c r="N267" s="4"/>
      <c r="O267" s="14"/>
      <c r="P267" s="14"/>
      <c r="Q267" s="14"/>
      <c r="R267" s="14"/>
      <c r="S267" s="14"/>
      <c r="T267" s="14"/>
    </row>
    <row r="268" spans="1:20">
      <c r="B268" s="3">
        <f>B267*B101</f>
        <v>7.0910359569679358</v>
      </c>
      <c r="C268" s="5" t="s">
        <v>1054</v>
      </c>
      <c r="D268" s="15"/>
      <c r="F268" s="3"/>
      <c r="G268" s="3"/>
      <c r="H268" s="6"/>
      <c r="I268" s="6"/>
      <c r="J268" s="6"/>
      <c r="K268" s="6"/>
      <c r="L268" s="4"/>
      <c r="M268" s="4"/>
      <c r="N268" s="4"/>
      <c r="O268" s="14"/>
      <c r="P268" s="14"/>
      <c r="Q268" s="14"/>
      <c r="R268" s="14"/>
      <c r="S268" s="14"/>
      <c r="T268" s="14"/>
    </row>
    <row r="269" spans="1:20">
      <c r="A269" s="70" t="s">
        <v>847</v>
      </c>
      <c r="B269" s="6">
        <v>90</v>
      </c>
      <c r="C269" s="5" t="s">
        <v>1060</v>
      </c>
      <c r="D269" s="15"/>
      <c r="F269" s="3"/>
      <c r="G269" s="3"/>
      <c r="H269" s="6"/>
      <c r="I269" s="6"/>
      <c r="J269" s="6"/>
      <c r="K269" s="6"/>
      <c r="L269" s="4"/>
      <c r="M269" s="4"/>
      <c r="N269" s="4"/>
      <c r="O269" s="14"/>
      <c r="P269" s="14"/>
      <c r="Q269" s="14"/>
      <c r="R269" s="14"/>
      <c r="S269" s="14"/>
      <c r="T269" s="14"/>
    </row>
    <row r="270" spans="1:20">
      <c r="A270" t="str">
        <f>"Equipment cost ("&amp;$B$128&amp;" USD)"</f>
        <v>Equipment cost (2024 USD)</v>
      </c>
      <c r="B270" s="6">
        <f>(B269/$C$146)*$B$146</f>
        <v>121.93120622171246</v>
      </c>
      <c r="C270" s="5" t="s">
        <v>1060</v>
      </c>
      <c r="D270" s="15"/>
      <c r="F270" s="3"/>
      <c r="G270" s="3"/>
      <c r="H270" s="6"/>
      <c r="I270" s="6"/>
      <c r="J270" s="6"/>
      <c r="K270" s="6"/>
      <c r="L270" s="4"/>
      <c r="M270" s="4"/>
      <c r="N270" s="4"/>
      <c r="O270" s="14"/>
      <c r="P270" s="14"/>
      <c r="Q270" s="14"/>
      <c r="R270" s="14"/>
      <c r="S270" s="14"/>
      <c r="T270" s="14"/>
    </row>
    <row r="271" spans="1:20">
      <c r="A271" t="s">
        <v>859</v>
      </c>
      <c r="B271" s="6">
        <f>B270*B268</f>
        <v>864.61856759463546</v>
      </c>
      <c r="C271" s="5"/>
      <c r="D271" s="15"/>
      <c r="F271" s="3"/>
      <c r="G271" s="3"/>
      <c r="H271" s="6"/>
      <c r="I271" s="6"/>
      <c r="J271" s="6"/>
      <c r="K271" s="6"/>
      <c r="L271" s="4"/>
      <c r="M271" s="4"/>
      <c r="N271" s="4"/>
      <c r="O271" s="14"/>
      <c r="P271" s="14"/>
      <c r="Q271" s="14"/>
      <c r="R271" s="14"/>
      <c r="S271" s="14"/>
      <c r="T271" s="14"/>
    </row>
    <row r="272" spans="1:20">
      <c r="C272" s="5"/>
      <c r="D272" s="15"/>
      <c r="F272" s="3"/>
      <c r="G272" s="3"/>
      <c r="H272" s="6"/>
      <c r="I272" s="6"/>
      <c r="J272" s="6"/>
      <c r="K272" s="6"/>
      <c r="L272" s="4"/>
      <c r="M272" s="4"/>
      <c r="N272" s="4"/>
      <c r="O272" s="14"/>
      <c r="P272" s="14"/>
      <c r="Q272" s="14"/>
      <c r="R272" s="14"/>
      <c r="S272" s="14"/>
      <c r="T272" s="14"/>
    </row>
    <row r="273" spans="1:20" s="30" customFormat="1">
      <c r="A273" s="30" t="s">
        <v>175</v>
      </c>
      <c r="C273" s="37"/>
      <c r="D273" s="63"/>
      <c r="F273" s="39"/>
      <c r="G273" s="39"/>
      <c r="H273" s="64"/>
      <c r="I273" s="64"/>
      <c r="J273" s="64"/>
      <c r="K273" s="64"/>
      <c r="L273" s="40"/>
      <c r="M273" s="40"/>
      <c r="N273" s="40"/>
      <c r="O273" s="50"/>
      <c r="P273" s="50"/>
      <c r="Q273" s="50"/>
      <c r="R273" s="50"/>
      <c r="S273" s="50"/>
      <c r="T273" s="50"/>
    </row>
    <row r="274" spans="1:20">
      <c r="A274" s="70" t="s">
        <v>834</v>
      </c>
      <c r="B274" s="19" t="s">
        <v>832</v>
      </c>
      <c r="C274" s="70" t="s">
        <v>248</v>
      </c>
      <c r="D274" s="70" t="s">
        <v>249</v>
      </c>
      <c r="E274" s="70" t="s">
        <v>250</v>
      </c>
      <c r="F274" s="70" t="s">
        <v>251</v>
      </c>
      <c r="G274" s="70" t="s">
        <v>252</v>
      </c>
      <c r="H274" s="70" t="s">
        <v>261</v>
      </c>
      <c r="I274" s="70" t="s">
        <v>253</v>
      </c>
      <c r="J274" s="70" t="s">
        <v>249</v>
      </c>
      <c r="K274" s="70" t="s">
        <v>254</v>
      </c>
      <c r="L274" s="70" t="s">
        <v>255</v>
      </c>
      <c r="M274" s="70" t="s">
        <v>256</v>
      </c>
      <c r="N274" s="70" t="s">
        <v>257</v>
      </c>
      <c r="O274" s="70" t="s">
        <v>837</v>
      </c>
      <c r="P274" s="70" t="s">
        <v>258</v>
      </c>
      <c r="Q274" s="70" t="s">
        <v>838</v>
      </c>
      <c r="R274" s="70" t="s">
        <v>259</v>
      </c>
      <c r="S274" s="70" t="s">
        <v>260</v>
      </c>
      <c r="T274" s="70" t="s">
        <v>940</v>
      </c>
    </row>
    <row r="275" spans="1:20">
      <c r="A275" s="70">
        <v>7</v>
      </c>
      <c r="B275" s="42">
        <v>118.75</v>
      </c>
      <c r="C275" s="73">
        <f>SUM(D275:G275)</f>
        <v>13.17</v>
      </c>
      <c r="D275" s="79">
        <v>9.19</v>
      </c>
      <c r="E275" s="79">
        <v>0.64</v>
      </c>
      <c r="F275" s="79">
        <v>1.58</v>
      </c>
      <c r="G275" s="79">
        <v>1.76</v>
      </c>
      <c r="H275" s="59">
        <f>G275/F275</f>
        <v>1.1139240506329113</v>
      </c>
      <c r="I275" s="73">
        <f t="shared" ref="I275:I284" si="26">SUM(J275:N275)</f>
        <v>43.3</v>
      </c>
      <c r="J275" s="79">
        <v>7.37</v>
      </c>
      <c r="K275" s="79">
        <v>3.77</v>
      </c>
      <c r="L275" s="79">
        <v>14.41</v>
      </c>
      <c r="M275" s="79">
        <v>0.82</v>
      </c>
      <c r="N275" s="79">
        <v>16.93</v>
      </c>
      <c r="O275" s="70">
        <v>22.9</v>
      </c>
      <c r="P275" s="70">
        <v>2.0299999999999998</v>
      </c>
      <c r="Q275" s="70">
        <v>-49.1</v>
      </c>
      <c r="R275" s="71">
        <v>1133</v>
      </c>
      <c r="S275" s="71">
        <v>37.31</v>
      </c>
      <c r="T275" s="70">
        <v>20</v>
      </c>
    </row>
    <row r="276" spans="1:20">
      <c r="A276" s="70">
        <v>10</v>
      </c>
      <c r="B276" s="42">
        <v>114.99999999999999</v>
      </c>
      <c r="C276" s="73">
        <f>SUM(D276:G276)</f>
        <v>12.68</v>
      </c>
      <c r="D276" s="79">
        <v>9.5500000000000007</v>
      </c>
      <c r="E276" s="79">
        <v>0.45</v>
      </c>
      <c r="F276" s="79">
        <v>1.27</v>
      </c>
      <c r="G276" s="79">
        <v>1.41</v>
      </c>
      <c r="H276" s="59">
        <f>G276/F276</f>
        <v>1.110236220472441</v>
      </c>
      <c r="I276" s="73">
        <f t="shared" si="26"/>
        <v>41.42</v>
      </c>
      <c r="J276" s="79">
        <v>7.37</v>
      </c>
      <c r="K276" s="79">
        <v>4.03</v>
      </c>
      <c r="L276" s="79">
        <v>13.67</v>
      </c>
      <c r="M276" s="79">
        <v>0.61</v>
      </c>
      <c r="N276" s="79">
        <v>15.74</v>
      </c>
      <c r="O276" s="70">
        <v>25.8</v>
      </c>
      <c r="P276" s="70">
        <v>0.57999999999999996</v>
      </c>
      <c r="Q276" s="70">
        <v>-39.799999999999997</v>
      </c>
      <c r="R276" s="71">
        <v>1095</v>
      </c>
      <c r="S276" s="71">
        <v>37.31</v>
      </c>
      <c r="T276" s="70">
        <v>20</v>
      </c>
    </row>
    <row r="277" spans="1:20">
      <c r="A277" s="70">
        <v>15</v>
      </c>
      <c r="B277" s="42">
        <v>107.5</v>
      </c>
      <c r="C277" s="73">
        <f>SUM(D277:G277)</f>
        <v>12.229999999999999</v>
      </c>
      <c r="D277" s="79">
        <v>9.75</v>
      </c>
      <c r="E277" s="79">
        <v>0.2</v>
      </c>
      <c r="F277" s="79">
        <v>1.0900000000000001</v>
      </c>
      <c r="G277" s="79">
        <v>1.19</v>
      </c>
      <c r="H277" s="59">
        <f>G277/F277</f>
        <v>1.0917431192660549</v>
      </c>
      <c r="I277" s="73">
        <f t="shared" si="26"/>
        <v>39.07</v>
      </c>
      <c r="J277" s="79">
        <v>7.37</v>
      </c>
      <c r="K277" s="79">
        <v>4.13</v>
      </c>
      <c r="L277" s="79">
        <v>12.64</v>
      </c>
      <c r="M277" s="79">
        <v>0.56999999999999995</v>
      </c>
      <c r="N277" s="79">
        <v>14.36</v>
      </c>
      <c r="O277" s="70">
        <v>27.5</v>
      </c>
      <c r="P277" s="70">
        <v>0.48</v>
      </c>
      <c r="Q277" s="70">
        <v>-28.2</v>
      </c>
      <c r="R277" s="71">
        <v>1042</v>
      </c>
      <c r="S277" s="71">
        <v>37.31</v>
      </c>
      <c r="T277" s="70">
        <v>23.999999999999996</v>
      </c>
    </row>
    <row r="278" spans="1:20">
      <c r="A278" s="70">
        <v>20</v>
      </c>
      <c r="B278" s="42">
        <v>105.00000000000001</v>
      </c>
      <c r="C278" s="73">
        <f>SUM(D278:G278)</f>
        <v>12.01</v>
      </c>
      <c r="D278" s="79">
        <v>9.85</v>
      </c>
      <c r="E278" s="79">
        <v>7.0000000000000007E-2</v>
      </c>
      <c r="F278" s="79">
        <v>1</v>
      </c>
      <c r="G278" s="79">
        <v>1.0900000000000001</v>
      </c>
      <c r="H278" s="59">
        <f t="shared" ref="H278:H284" si="27">G278/F278</f>
        <v>1.0900000000000001</v>
      </c>
      <c r="I278" s="73">
        <f t="shared" si="26"/>
        <v>37.29</v>
      </c>
      <c r="J278" s="79">
        <v>7.37</v>
      </c>
      <c r="K278" s="79">
        <v>4.2</v>
      </c>
      <c r="L278" s="79">
        <v>11.82</v>
      </c>
      <c r="M278" s="79">
        <v>0.53</v>
      </c>
      <c r="N278" s="79">
        <v>13.37</v>
      </c>
      <c r="O278" s="70">
        <v>28.3</v>
      </c>
      <c r="P278" s="70">
        <v>0.44</v>
      </c>
      <c r="Q278" s="70">
        <v>-19.2</v>
      </c>
      <c r="R278" s="71">
        <v>995.4</v>
      </c>
      <c r="S278" s="71">
        <v>37.31</v>
      </c>
      <c r="T278" s="70">
        <v>20</v>
      </c>
    </row>
    <row r="279" spans="1:20">
      <c r="A279" s="70">
        <v>25</v>
      </c>
      <c r="B279" s="42">
        <v>103.75000000000001</v>
      </c>
      <c r="C279" s="73">
        <f>SUM(D279:G279)</f>
        <v>11.739999999999998</v>
      </c>
      <c r="D279" s="79">
        <v>9.7799999999999994</v>
      </c>
      <c r="E279" s="79">
        <v>0.01</v>
      </c>
      <c r="F279" s="79">
        <v>0.92</v>
      </c>
      <c r="G279" s="79">
        <v>1.03</v>
      </c>
      <c r="H279" s="59">
        <f>G279/F279</f>
        <v>1.1195652173913044</v>
      </c>
      <c r="I279" s="73">
        <f t="shared" si="26"/>
        <v>35.5</v>
      </c>
      <c r="J279" s="79">
        <v>11.2</v>
      </c>
      <c r="K279" s="79">
        <v>0.5</v>
      </c>
      <c r="L279" s="79">
        <v>10.92</v>
      </c>
      <c r="M279" s="79">
        <v>0.37</v>
      </c>
      <c r="N279" s="79">
        <v>12.51</v>
      </c>
      <c r="O279" s="70">
        <v>28</v>
      </c>
      <c r="P279" s="70">
        <v>1.34</v>
      </c>
      <c r="Q279" s="70">
        <v>-11.7</v>
      </c>
      <c r="R279" s="71">
        <v>952.2</v>
      </c>
      <c r="S279" s="71">
        <v>37.31</v>
      </c>
      <c r="T279" s="70">
        <v>20</v>
      </c>
    </row>
    <row r="280" spans="1:20">
      <c r="A280" s="70">
        <v>30</v>
      </c>
      <c r="B280" s="42">
        <v>102.5</v>
      </c>
      <c r="C280" s="73">
        <f t="shared" ref="C280:C284" si="28">SUM(D280:G280)</f>
        <v>11.59</v>
      </c>
      <c r="D280" s="79">
        <v>10.01</v>
      </c>
      <c r="E280" s="79">
        <v>0</v>
      </c>
      <c r="F280" s="79">
        <v>0.76</v>
      </c>
      <c r="G280" s="79">
        <v>0.82</v>
      </c>
      <c r="H280" s="59">
        <f t="shared" si="27"/>
        <v>1.0789473684210527</v>
      </c>
      <c r="I280" s="73">
        <f t="shared" si="26"/>
        <v>34</v>
      </c>
      <c r="J280" s="79">
        <v>11.2</v>
      </c>
      <c r="K280" s="79">
        <v>0.91</v>
      </c>
      <c r="L280" s="79">
        <v>10.15</v>
      </c>
      <c r="M280" s="79">
        <v>0.37</v>
      </c>
      <c r="N280" s="79">
        <v>11.37</v>
      </c>
      <c r="O280" s="70">
        <v>31</v>
      </c>
      <c r="P280" s="70">
        <v>0.42</v>
      </c>
      <c r="Q280" s="70">
        <v>-5.3</v>
      </c>
      <c r="R280" s="71">
        <v>910.9</v>
      </c>
      <c r="S280" s="71">
        <v>37.31</v>
      </c>
      <c r="T280" s="70">
        <v>20</v>
      </c>
    </row>
    <row r="281" spans="1:20">
      <c r="A281" s="70">
        <v>40</v>
      </c>
      <c r="B281" s="42">
        <v>101.24999999999999</v>
      </c>
      <c r="C281" s="73">
        <f t="shared" si="28"/>
        <v>11.5</v>
      </c>
      <c r="D281" s="79">
        <v>10.67</v>
      </c>
      <c r="E281" s="79">
        <v>0</v>
      </c>
      <c r="F281" s="79">
        <v>0.41</v>
      </c>
      <c r="G281" s="79">
        <v>0.42</v>
      </c>
      <c r="H281" s="59">
        <f t="shared" si="27"/>
        <v>1.024390243902439</v>
      </c>
      <c r="I281" s="73">
        <f t="shared" si="26"/>
        <v>31.32</v>
      </c>
      <c r="J281" s="79">
        <v>11.2</v>
      </c>
      <c r="K281" s="79">
        <v>2.0099999999999998</v>
      </c>
      <c r="L281" s="79">
        <v>8.64</v>
      </c>
      <c r="M281" s="79">
        <v>0.25</v>
      </c>
      <c r="N281" s="79">
        <v>9.2200000000000006</v>
      </c>
      <c r="O281" s="70">
        <v>41</v>
      </c>
      <c r="P281" s="70">
        <v>0.99</v>
      </c>
      <c r="Q281" s="70">
        <v>5.4</v>
      </c>
      <c r="R281" s="71">
        <v>830.3</v>
      </c>
      <c r="S281" s="71">
        <v>37.31</v>
      </c>
      <c r="T281" s="70">
        <v>16</v>
      </c>
    </row>
    <row r="282" spans="1:20">
      <c r="A282" s="70">
        <v>50</v>
      </c>
      <c r="B282" s="42">
        <v>102.5</v>
      </c>
      <c r="C282" s="73">
        <f t="shared" si="28"/>
        <v>11.650000000000002</v>
      </c>
      <c r="D282" s="79">
        <v>11.21</v>
      </c>
      <c r="E282" s="79">
        <v>0</v>
      </c>
      <c r="F282" s="79">
        <v>0.21</v>
      </c>
      <c r="G282" s="79">
        <v>0.23</v>
      </c>
      <c r="H282" s="59">
        <f t="shared" si="27"/>
        <v>1.0952380952380953</v>
      </c>
      <c r="I282" s="73">
        <f t="shared" si="26"/>
        <v>28.990000000000002</v>
      </c>
      <c r="J282" s="79">
        <v>11.2</v>
      </c>
      <c r="K282" s="79">
        <v>2.92</v>
      </c>
      <c r="L282" s="79">
        <v>7.21</v>
      </c>
      <c r="M282" s="79">
        <v>0.01</v>
      </c>
      <c r="N282" s="79">
        <v>7.65</v>
      </c>
      <c r="O282" s="70">
        <v>51</v>
      </c>
      <c r="P282" s="70">
        <v>0.05</v>
      </c>
      <c r="Q282" s="70">
        <v>14.3</v>
      </c>
      <c r="R282" s="71">
        <v>747.6</v>
      </c>
      <c r="S282" s="71">
        <v>37.31</v>
      </c>
      <c r="T282" s="70">
        <v>16</v>
      </c>
    </row>
    <row r="283" spans="1:20">
      <c r="A283" s="70">
        <v>60</v>
      </c>
      <c r="B283" s="42">
        <v>105.00000000000001</v>
      </c>
      <c r="C283" s="73">
        <f t="shared" si="28"/>
        <v>11.84</v>
      </c>
      <c r="D283" s="79">
        <v>11.67</v>
      </c>
      <c r="E283" s="79">
        <v>0</v>
      </c>
      <c r="F283" s="79">
        <v>0.08</v>
      </c>
      <c r="G283" s="79">
        <v>0.09</v>
      </c>
      <c r="H283" s="59">
        <f t="shared" si="27"/>
        <v>1.125</v>
      </c>
      <c r="I283" s="73">
        <f t="shared" si="26"/>
        <v>26.12</v>
      </c>
      <c r="J283" s="79">
        <v>11.2</v>
      </c>
      <c r="K283" s="79">
        <v>4.5999999999999996</v>
      </c>
      <c r="L283" s="79">
        <v>4.88</v>
      </c>
      <c r="M283" s="79">
        <v>0.19</v>
      </c>
      <c r="N283" s="79">
        <v>5.25</v>
      </c>
      <c r="O283" s="70">
        <v>61</v>
      </c>
      <c r="P283" s="70">
        <v>0</v>
      </c>
      <c r="Q283" s="70">
        <v>21.9</v>
      </c>
      <c r="R283" s="71">
        <v>655.8</v>
      </c>
      <c r="S283" s="71">
        <v>37.31</v>
      </c>
      <c r="T283" s="70">
        <v>11.999999999999998</v>
      </c>
    </row>
    <row r="284" spans="1:20">
      <c r="A284" s="70">
        <v>70</v>
      </c>
      <c r="B284" s="42">
        <v>107.5</v>
      </c>
      <c r="C284" s="73">
        <f t="shared" si="28"/>
        <v>12.149999999999999</v>
      </c>
      <c r="D284" s="79">
        <v>12.09</v>
      </c>
      <c r="E284" s="79">
        <v>0</v>
      </c>
      <c r="F284" s="79">
        <v>0.03</v>
      </c>
      <c r="G284" s="79">
        <v>0.03</v>
      </c>
      <c r="H284" s="59">
        <f t="shared" si="27"/>
        <v>1</v>
      </c>
      <c r="I284" s="73">
        <f t="shared" si="26"/>
        <v>22.16</v>
      </c>
      <c r="J284" s="79">
        <v>11.2</v>
      </c>
      <c r="K284" s="79">
        <v>5.98</v>
      </c>
      <c r="L284" s="79">
        <v>2.46</v>
      </c>
      <c r="M284" s="79">
        <v>0.02</v>
      </c>
      <c r="N284" s="79">
        <v>2.5</v>
      </c>
      <c r="O284" s="70">
        <v>71</v>
      </c>
      <c r="P284" s="70">
        <v>0</v>
      </c>
      <c r="Q284" s="70">
        <v>28.7</v>
      </c>
      <c r="R284" s="71">
        <v>531.20000000000005</v>
      </c>
      <c r="S284" s="71">
        <v>37.31</v>
      </c>
      <c r="T284" s="70">
        <v>11.999999999999998</v>
      </c>
    </row>
    <row r="285" spans="1:20">
      <c r="C285" s="5"/>
      <c r="D285" s="15"/>
      <c r="F285" s="3"/>
      <c r="G285" s="3"/>
      <c r="H285" s="6"/>
      <c r="I285" s="6"/>
      <c r="J285" s="6"/>
      <c r="K285" s="6"/>
      <c r="L285" s="4"/>
      <c r="M285" s="4"/>
      <c r="N285" s="4"/>
      <c r="O285" s="14"/>
      <c r="P285" s="14"/>
      <c r="Q285" s="14"/>
      <c r="R285" s="14"/>
      <c r="S285" s="14"/>
      <c r="T285" s="14"/>
    </row>
    <row r="286" spans="1:20">
      <c r="A286" t="s">
        <v>839</v>
      </c>
      <c r="C286" s="5"/>
      <c r="D286" s="15"/>
      <c r="F286" s="3"/>
      <c r="G286" s="3"/>
      <c r="H286" s="6"/>
      <c r="I286" s="6"/>
      <c r="J286" s="6"/>
      <c r="K286" s="6"/>
      <c r="L286" s="4"/>
      <c r="M286" s="4"/>
      <c r="N286" s="4"/>
      <c r="O286" s="14"/>
      <c r="P286" s="14"/>
      <c r="Q286" s="14"/>
      <c r="R286" s="14"/>
      <c r="S286" s="14"/>
      <c r="T286" s="14"/>
    </row>
    <row r="287" spans="1:20">
      <c r="A287" s="23" t="s">
        <v>190</v>
      </c>
      <c r="B287" s="24">
        <f>$B$118</f>
        <v>15</v>
      </c>
      <c r="C287" s="23" t="s">
        <v>72</v>
      </c>
      <c r="D287" s="15"/>
      <c r="F287" s="3"/>
      <c r="G287" s="3"/>
      <c r="H287" s="6"/>
      <c r="I287" s="6"/>
      <c r="J287" s="6"/>
      <c r="K287" s="6"/>
      <c r="L287" s="4"/>
      <c r="M287" s="4"/>
      <c r="N287" s="4"/>
      <c r="O287" s="14"/>
      <c r="P287" s="14"/>
      <c r="Q287" s="14"/>
      <c r="R287" s="14"/>
      <c r="S287" s="14"/>
      <c r="T287" s="14"/>
    </row>
    <row r="288" spans="1:20">
      <c r="A288" s="23" t="s">
        <v>181</v>
      </c>
      <c r="B288" s="23">
        <f>B117</f>
        <v>1</v>
      </c>
      <c r="C288" s="23" t="s">
        <v>72</v>
      </c>
      <c r="D288" s="15"/>
      <c r="F288" s="3"/>
      <c r="G288" s="3"/>
      <c r="H288" s="3"/>
      <c r="I288" s="3"/>
      <c r="J288" s="3"/>
      <c r="K288" s="3"/>
      <c r="L288" s="4"/>
      <c r="M288" s="4"/>
      <c r="N288" s="4"/>
      <c r="O288" s="14"/>
      <c r="P288" s="14"/>
      <c r="Q288" s="14"/>
      <c r="R288" s="14"/>
      <c r="S288" s="14"/>
      <c r="T288" s="14"/>
    </row>
    <row r="289" spans="1:20">
      <c r="A289" s="23" t="s">
        <v>262</v>
      </c>
      <c r="B289" s="23">
        <f>LOOKUP(B287,$A$275:$A$284,$O$275:$O$284)</f>
        <v>27.5</v>
      </c>
      <c r="C289" s="23" t="s">
        <v>72</v>
      </c>
      <c r="D289" s="15"/>
      <c r="F289" s="3"/>
      <c r="G289" s="3"/>
      <c r="H289" s="3"/>
      <c r="I289" s="3"/>
      <c r="J289" s="3"/>
      <c r="K289" s="3"/>
      <c r="L289" s="4"/>
      <c r="M289" s="4"/>
      <c r="N289" s="4"/>
      <c r="O289" s="14"/>
      <c r="P289" s="14"/>
      <c r="Q289" s="14"/>
      <c r="R289" s="14"/>
      <c r="S289" s="14"/>
      <c r="T289" s="14"/>
    </row>
    <row r="290" spans="1:20">
      <c r="A290" s="23" t="s">
        <v>182</v>
      </c>
      <c r="B290" s="25">
        <f>B288/B289</f>
        <v>3.6363636363636362E-2</v>
      </c>
      <c r="C290" s="67" t="s">
        <v>563</v>
      </c>
      <c r="D290" s="15"/>
      <c r="F290" s="3"/>
      <c r="G290" s="3"/>
      <c r="H290" s="3"/>
    </row>
    <row r="291" spans="1:20">
      <c r="A291" s="23" t="s">
        <v>263</v>
      </c>
      <c r="B291" s="24">
        <v>4</v>
      </c>
      <c r="C291" s="23" t="s">
        <v>38</v>
      </c>
      <c r="D291" s="15"/>
      <c r="F291" s="3"/>
      <c r="G291" s="3"/>
      <c r="H291" s="3"/>
    </row>
    <row r="292" spans="1:20">
      <c r="A292" s="23" t="s">
        <v>261</v>
      </c>
      <c r="B292" s="25">
        <f>LOOKUP(B287,$A$275:$A$284,$H$275:$H$284)</f>
        <v>1.0917431192660549</v>
      </c>
      <c r="C292" s="67" t="s">
        <v>563</v>
      </c>
      <c r="D292" s="15"/>
      <c r="F292" s="3"/>
      <c r="G292" s="3"/>
      <c r="H292" s="3"/>
    </row>
    <row r="293" spans="1:20">
      <c r="A293" s="23" t="s">
        <v>264</v>
      </c>
      <c r="B293" s="24">
        <f>(1000*LOOKUP(B287,$A$275:$A$284,$D$275:$D$284))</f>
        <v>9750</v>
      </c>
      <c r="C293" s="23" t="s">
        <v>180</v>
      </c>
      <c r="D293" s="15"/>
      <c r="F293" s="3"/>
      <c r="G293" s="3"/>
      <c r="H293" s="6"/>
    </row>
    <row r="294" spans="1:20">
      <c r="A294" s="23" t="s">
        <v>265</v>
      </c>
      <c r="B294" s="24">
        <f>B293/(1+B292+(B292^2)+(B292^3))</f>
        <v>2126.5467170441275</v>
      </c>
      <c r="C294" s="23" t="s">
        <v>180</v>
      </c>
      <c r="D294" s="15"/>
      <c r="F294" s="3"/>
      <c r="G294" s="3"/>
      <c r="H294" s="6"/>
    </row>
    <row r="295" spans="1:20">
      <c r="A295" s="23" t="s">
        <v>843</v>
      </c>
      <c r="B295" s="24">
        <f>LOOKUP(B287,$A$275:$A$284,$F$275:$F$284)*1000</f>
        <v>1090</v>
      </c>
      <c r="C295" s="23" t="s">
        <v>180</v>
      </c>
      <c r="D295" s="15"/>
      <c r="F295" s="3"/>
      <c r="G295" s="3"/>
    </row>
    <row r="296" spans="1:20">
      <c r="A296" s="23" t="s">
        <v>844</v>
      </c>
      <c r="B296" s="24">
        <f>LOOKUP(B287,$A$275:$A$284,$E$275:$E$284)*1000</f>
        <v>200</v>
      </c>
      <c r="C296" s="23" t="s">
        <v>180</v>
      </c>
      <c r="D296" s="15"/>
      <c r="F296" s="3"/>
      <c r="G296" s="3"/>
      <c r="H296" s="6"/>
    </row>
    <row r="297" spans="1:20">
      <c r="A297" s="23" t="s">
        <v>867</v>
      </c>
      <c r="B297" s="28">
        <f>LOOKUP(B287,$A$275:$A$284,$S$275:$S$284)</f>
        <v>37.31</v>
      </c>
      <c r="C297" s="23" t="s">
        <v>26</v>
      </c>
      <c r="D297" s="15"/>
      <c r="F297" s="3"/>
      <c r="G297" s="3"/>
      <c r="H297" s="6"/>
    </row>
    <row r="298" spans="1:20">
      <c r="A298" s="23" t="s">
        <v>209</v>
      </c>
      <c r="B298" s="28">
        <f>B7</f>
        <v>9.506426344208684</v>
      </c>
      <c r="C298" s="26" t="s">
        <v>26</v>
      </c>
      <c r="D298" s="15"/>
      <c r="F298" s="3"/>
      <c r="G298" s="3"/>
      <c r="H298" s="6"/>
    </row>
    <row r="299" spans="1:20">
      <c r="A299" s="23" t="s">
        <v>282</v>
      </c>
      <c r="B299" s="29">
        <f>B298/B297</f>
        <v>0.25479566722617752</v>
      </c>
      <c r="C299" s="68" t="s">
        <v>563</v>
      </c>
      <c r="D299" s="15"/>
      <c r="F299" s="3"/>
      <c r="G299" s="3"/>
      <c r="H299" s="6"/>
    </row>
    <row r="300" spans="1:20">
      <c r="C300" s="5"/>
      <c r="D300" s="15"/>
      <c r="F300" s="3"/>
      <c r="G300" s="3"/>
      <c r="H300" s="6"/>
    </row>
    <row r="301" spans="1:20">
      <c r="B301" s="27" t="s">
        <v>184</v>
      </c>
      <c r="C301" s="27" t="s">
        <v>185</v>
      </c>
      <c r="D301" s="27" t="s">
        <v>186</v>
      </c>
      <c r="E301" s="27" t="s">
        <v>187</v>
      </c>
      <c r="F301" s="27" t="s">
        <v>188</v>
      </c>
      <c r="G301" s="27" t="s">
        <v>189</v>
      </c>
      <c r="H301" s="27" t="s">
        <v>183</v>
      </c>
    </row>
    <row r="302" spans="1:20">
      <c r="A302" s="23" t="s">
        <v>191</v>
      </c>
      <c r="B302" s="24">
        <f>B294*$B$299</f>
        <v>541.83488965689583</v>
      </c>
      <c r="C302" s="24">
        <f>B302*$B$292</f>
        <v>591.54451256119819</v>
      </c>
      <c r="D302" s="24">
        <f>C302*$B$292</f>
        <v>645.81465132828055</v>
      </c>
      <c r="E302" s="24">
        <f>D302*$B$292</f>
        <v>705.06370190885673</v>
      </c>
      <c r="F302" s="24">
        <f>B295*$B$299</f>
        <v>277.72727727653353</v>
      </c>
      <c r="G302" s="24">
        <f>F302*$B$292</f>
        <v>303.20684399915126</v>
      </c>
      <c r="H302" s="3">
        <f>B296*$B$299</f>
        <v>50.959133445235508</v>
      </c>
    </row>
    <row r="303" spans="1:20">
      <c r="A303" s="23" t="s">
        <v>840</v>
      </c>
      <c r="B303" s="24">
        <v>2212.3379539732732</v>
      </c>
      <c r="C303" s="24">
        <v>797.70714123929974</v>
      </c>
      <c r="D303" s="24">
        <v>236.81769234156653</v>
      </c>
      <c r="E303" t="s">
        <v>37</v>
      </c>
      <c r="F303" s="24">
        <v>1941.9191303253517</v>
      </c>
      <c r="G303" s="24">
        <v>778.01380455462231</v>
      </c>
      <c r="H303" s="6" t="s">
        <v>37</v>
      </c>
    </row>
    <row r="304" spans="1:20">
      <c r="A304" s="23" t="s">
        <v>841</v>
      </c>
      <c r="B304" s="24">
        <v>519733.78879008163</v>
      </c>
      <c r="C304" s="24">
        <v>730104.76180764474</v>
      </c>
      <c r="D304" s="24">
        <v>1162483.2825981816</v>
      </c>
      <c r="E304" s="23" t="s">
        <v>37</v>
      </c>
      <c r="F304" s="24">
        <v>681871.49145716615</v>
      </c>
      <c r="G304" s="24">
        <v>794341.15470425505</v>
      </c>
      <c r="H304" s="6" t="s">
        <v>37</v>
      </c>
    </row>
    <row r="305" spans="1:8">
      <c r="A305" s="23" t="s">
        <v>845</v>
      </c>
      <c r="B305" t="s">
        <v>37</v>
      </c>
      <c r="C305" t="s">
        <v>37</v>
      </c>
      <c r="D305" t="s">
        <v>37</v>
      </c>
      <c r="E305" s="3">
        <v>694467.08610874426</v>
      </c>
      <c r="F305" t="s">
        <v>37</v>
      </c>
      <c r="G305" t="s">
        <v>37</v>
      </c>
      <c r="H305" s="6" t="s">
        <v>37</v>
      </c>
    </row>
    <row r="306" spans="1:8">
      <c r="A306" s="23" t="s">
        <v>846</v>
      </c>
      <c r="B306" t="s">
        <v>37</v>
      </c>
      <c r="C306" t="s">
        <v>37</v>
      </c>
      <c r="D306" t="s">
        <v>37</v>
      </c>
      <c r="E306" s="1">
        <v>0.12638816729131871</v>
      </c>
      <c r="F306" t="s">
        <v>37</v>
      </c>
      <c r="G306" t="s">
        <v>37</v>
      </c>
      <c r="H306" s="6" t="s">
        <v>37</v>
      </c>
    </row>
    <row r="307" spans="1:8">
      <c r="A307" s="23" t="s">
        <v>266</v>
      </c>
      <c r="B307" t="s">
        <v>37</v>
      </c>
      <c r="C307" t="s">
        <v>37</v>
      </c>
      <c r="D307" t="s">
        <v>37</v>
      </c>
      <c r="E307" t="s">
        <v>37</v>
      </c>
      <c r="F307" t="s">
        <v>37</v>
      </c>
      <c r="G307" t="s">
        <v>37</v>
      </c>
      <c r="H307" s="24">
        <v>287.2</v>
      </c>
    </row>
    <row r="308" spans="1:8">
      <c r="A308" s="23" t="s">
        <v>267</v>
      </c>
      <c r="B308" t="s">
        <v>37</v>
      </c>
      <c r="C308" t="s">
        <v>37</v>
      </c>
      <c r="D308" t="s">
        <v>37</v>
      </c>
      <c r="E308" t="s">
        <v>37</v>
      </c>
      <c r="F308" t="s">
        <v>37</v>
      </c>
      <c r="G308" t="s">
        <v>37</v>
      </c>
      <c r="H308" s="24">
        <v>270</v>
      </c>
    </row>
    <row r="309" spans="1:8">
      <c r="A309" s="23" t="s">
        <v>268</v>
      </c>
      <c r="B309" t="s">
        <v>37</v>
      </c>
      <c r="C309" t="s">
        <v>37</v>
      </c>
      <c r="D309" t="s">
        <v>37</v>
      </c>
      <c r="E309" t="s">
        <v>37</v>
      </c>
      <c r="F309" t="s">
        <v>37</v>
      </c>
      <c r="G309" t="s">
        <v>37</v>
      </c>
      <c r="H309" s="24">
        <v>29439</v>
      </c>
    </row>
    <row r="310" spans="1:8">
      <c r="A310" s="23" t="s">
        <v>842</v>
      </c>
      <c r="B310" t="s">
        <v>37</v>
      </c>
      <c r="C310" t="s">
        <v>37</v>
      </c>
      <c r="D310" t="s">
        <v>37</v>
      </c>
      <c r="E310" t="s">
        <v>37</v>
      </c>
      <c r="F310" t="s">
        <v>37</v>
      </c>
      <c r="G310" t="s">
        <v>37</v>
      </c>
      <c r="H310" s="69">
        <v>952751</v>
      </c>
    </row>
    <row r="311" spans="1:8">
      <c r="A311" s="23" t="s">
        <v>847</v>
      </c>
      <c r="B311" s="14">
        <f>(B303*B302)+B304</f>
        <v>1718455.6799649529</v>
      </c>
      <c r="C311" s="14">
        <f>(C303*C302)+C304</f>
        <v>1201984.0438386332</v>
      </c>
      <c r="D311" s="14">
        <f>(D303*D302)+D304</f>
        <v>1315423.6180061183</v>
      </c>
      <c r="E311" s="14">
        <f>E305*(E302^E306)</f>
        <v>1590867.5724738881</v>
      </c>
      <c r="F311" s="14">
        <f>(F303*F302)+F304</f>
        <v>1221195.4042136399</v>
      </c>
      <c r="G311" s="14">
        <f>(G303*G302)+G304</f>
        <v>1030240.2649710346</v>
      </c>
      <c r="H311" s="14">
        <f>(H307*H302)+(H308*B289)+(H309*B290)+H310</f>
        <v>975881.97221638076</v>
      </c>
    </row>
    <row r="312" spans="1:8">
      <c r="A312" t="str">
        <f>"Equipment cost ("&amp;$B$128&amp;" USD)"</f>
        <v>Equipment cost (2024 USD)</v>
      </c>
      <c r="B312" s="14">
        <f>(B311/$C$146)*$B$146</f>
        <v>2328148.5988519979</v>
      </c>
      <c r="C312" s="14">
        <f t="shared" ref="C312:G312" si="29">(C311/$C$146)*$B$146</f>
        <v>1628437.3813832917</v>
      </c>
      <c r="D312" s="14">
        <f t="shared" si="29"/>
        <v>1782124.3159557239</v>
      </c>
      <c r="E312" s="14">
        <f t="shared" si="29"/>
        <v>2155293.3561194306</v>
      </c>
      <c r="F312" s="14">
        <f t="shared" si="29"/>
        <v>1654464.7629797868</v>
      </c>
      <c r="G312" s="14">
        <f t="shared" si="29"/>
        <v>1395760.4245121656</v>
      </c>
      <c r="H312" s="14">
        <f>(H311/$C$146)*$B$146</f>
        <v>1322116.2889151888</v>
      </c>
    </row>
    <row r="313" spans="1:8">
      <c r="A313" t="s">
        <v>859</v>
      </c>
      <c r="B313" s="14">
        <f>SUM(B312:H312)</f>
        <v>12266345.128717585</v>
      </c>
      <c r="C313" s="14"/>
      <c r="D313" s="14"/>
      <c r="E313" s="14"/>
      <c r="F313" s="14"/>
      <c r="G313" s="14"/>
      <c r="H313" s="14"/>
    </row>
    <row r="314" spans="1:8">
      <c r="B314" s="14"/>
      <c r="C314" s="14"/>
      <c r="D314" s="14"/>
      <c r="E314" s="14"/>
      <c r="F314" s="14"/>
      <c r="G314" s="14"/>
      <c r="H314" s="14"/>
    </row>
    <row r="315" spans="1:8">
      <c r="A315" t="s">
        <v>848</v>
      </c>
      <c r="C315" s="5"/>
      <c r="D315" s="15"/>
      <c r="F315" s="3"/>
      <c r="G315" s="3"/>
      <c r="H315" s="6"/>
    </row>
    <row r="316" spans="1:8">
      <c r="A316" s="70" t="s">
        <v>266</v>
      </c>
      <c r="B316" s="70">
        <v>12003</v>
      </c>
      <c r="C316" s="5"/>
      <c r="D316" s="15"/>
      <c r="F316" s="3"/>
      <c r="G316" s="3"/>
      <c r="H316" s="6"/>
    </row>
    <row r="317" spans="1:8">
      <c r="A317" s="70" t="s">
        <v>849</v>
      </c>
      <c r="B317" s="70">
        <v>0.60299999999999998</v>
      </c>
      <c r="C317" s="5"/>
      <c r="D317" s="15"/>
      <c r="F317" s="3"/>
      <c r="G317" s="3"/>
      <c r="H317" s="6"/>
    </row>
    <row r="318" spans="1:8">
      <c r="A318" s="70" t="s">
        <v>267</v>
      </c>
      <c r="B318" s="224">
        <v>1.0111870000000001</v>
      </c>
      <c r="C318" s="5"/>
      <c r="D318" s="15"/>
      <c r="F318" s="3"/>
      <c r="G318" s="3"/>
      <c r="H318" s="6"/>
    </row>
    <row r="319" spans="1:8">
      <c r="A319" s="70"/>
      <c r="B319" s="70" t="s">
        <v>269</v>
      </c>
      <c r="C319" s="70" t="s">
        <v>270</v>
      </c>
      <c r="D319" s="70" t="s">
        <v>271</v>
      </c>
      <c r="E319" s="70" t="s">
        <v>283</v>
      </c>
      <c r="F319" s="70" t="s">
        <v>847</v>
      </c>
      <c r="G319" t="str">
        <f>"Equipment cost ("&amp;$B$128&amp;" USD)"</f>
        <v>Equipment cost (2024 USD)</v>
      </c>
      <c r="H319" s="6"/>
    </row>
    <row r="320" spans="1:8">
      <c r="A320" s="70" t="s">
        <v>272</v>
      </c>
      <c r="B320" s="70"/>
      <c r="D320" s="70"/>
      <c r="E320" s="72"/>
      <c r="F320" s="74">
        <f>SUM(F321:F322)</f>
        <v>0</v>
      </c>
      <c r="G320" s="14">
        <f>(F320/$C$146)*$B$146</f>
        <v>0</v>
      </c>
      <c r="H320" s="6"/>
    </row>
    <row r="321" spans="1:8">
      <c r="A321" s="70" t="s">
        <v>273</v>
      </c>
      <c r="B321" s="70">
        <f>B322/2</f>
        <v>13.75</v>
      </c>
      <c r="C321" s="71">
        <f>B330/COUNT(B321:B322)</f>
        <v>1399.5</v>
      </c>
      <c r="D321" s="71">
        <f>C321/$B$297</f>
        <v>37.510050924685068</v>
      </c>
      <c r="E321" s="71">
        <f>D321*$B$298</f>
        <v>356.58653628303546</v>
      </c>
      <c r="G321" s="14"/>
      <c r="H321" s="6"/>
    </row>
    <row r="322" spans="1:8">
      <c r="A322" s="70" t="s">
        <v>274</v>
      </c>
      <c r="B322" s="70">
        <f>B289</f>
        <v>27.5</v>
      </c>
      <c r="C322" s="71">
        <f>B330-C321</f>
        <v>1399.5</v>
      </c>
      <c r="D322" s="71">
        <f t="shared" ref="D322" si="30">C322/$B$297</f>
        <v>37.510050924685068</v>
      </c>
      <c r="E322" s="71">
        <f t="shared" ref="E322:E328" si="31">D322*$B$298</f>
        <v>356.58653628303546</v>
      </c>
      <c r="G322" s="14"/>
    </row>
    <row r="323" spans="1:8">
      <c r="A323" s="70" t="s">
        <v>275</v>
      </c>
      <c r="B323" s="70"/>
      <c r="D323" s="71"/>
      <c r="E323" s="71"/>
      <c r="F323" s="74">
        <f>SUM(F324:F325)</f>
        <v>0</v>
      </c>
      <c r="G323" s="14">
        <f t="shared" ref="G323:G326" si="32">(F323/$C$146)*$B$146</f>
        <v>0</v>
      </c>
    </row>
    <row r="324" spans="1:8">
      <c r="A324" s="70" t="s">
        <v>276</v>
      </c>
      <c r="B324" s="70">
        <f>B289</f>
        <v>27.5</v>
      </c>
      <c r="D324" s="71">
        <f>D337/$B$297</f>
        <v>1.4151809669101745</v>
      </c>
      <c r="E324" s="71">
        <f t="shared" si="31"/>
        <v>13.4533136256576</v>
      </c>
      <c r="G324" s="14"/>
    </row>
    <row r="325" spans="1:8">
      <c r="A325" s="70" t="s">
        <v>277</v>
      </c>
      <c r="B325" s="70">
        <f>B289</f>
        <v>27.5</v>
      </c>
      <c r="D325" s="71">
        <f>E337/$B$297</f>
        <v>35.652629271631767</v>
      </c>
      <c r="E325" s="71">
        <f t="shared" si="31"/>
        <v>338.92909414814591</v>
      </c>
      <c r="G325" s="14"/>
    </row>
    <row r="326" spans="1:8">
      <c r="A326" s="70" t="s">
        <v>175</v>
      </c>
      <c r="B326" s="70"/>
      <c r="D326" s="71"/>
      <c r="E326" s="71"/>
      <c r="F326" s="74">
        <f>SUM(F327:F328)</f>
        <v>0</v>
      </c>
      <c r="G326" s="14">
        <f t="shared" si="32"/>
        <v>0</v>
      </c>
    </row>
    <row r="327" spans="1:8">
      <c r="A327" s="70" t="s">
        <v>278</v>
      </c>
      <c r="B327" s="70">
        <f>B289</f>
        <v>27.5</v>
      </c>
      <c r="D327" s="71">
        <f>F337/$B$297</f>
        <v>13.887928613701988</v>
      </c>
      <c r="E327" s="71">
        <f t="shared" si="31"/>
        <v>132.02457043978617</v>
      </c>
      <c r="G327" s="14"/>
    </row>
    <row r="328" spans="1:8">
      <c r="A328" s="70" t="s">
        <v>279</v>
      </c>
      <c r="B328" s="70">
        <f>B289</f>
        <v>27.5</v>
      </c>
      <c r="D328" s="71">
        <f>G337/$B$297</f>
        <v>42.504459486003178</v>
      </c>
      <c r="E328" s="71">
        <f t="shared" si="31"/>
        <v>404.06551340409129</v>
      </c>
      <c r="G328" s="14"/>
    </row>
    <row r="329" spans="1:8">
      <c r="A329" s="70"/>
      <c r="B329" s="70"/>
      <c r="C329" s="71"/>
      <c r="D329" s="71"/>
      <c r="E329" s="71"/>
      <c r="F329" s="74"/>
      <c r="G329" s="14"/>
    </row>
    <row r="330" spans="1:8">
      <c r="A330" s="70" t="s">
        <v>863</v>
      </c>
      <c r="B330" s="70">
        <v>2799</v>
      </c>
    </row>
    <row r="331" spans="1:8">
      <c r="A331" s="70" t="s">
        <v>866</v>
      </c>
      <c r="B331" s="70">
        <v>2</v>
      </c>
    </row>
    <row r="332" spans="1:8">
      <c r="A332" s="70" t="s">
        <v>864</v>
      </c>
      <c r="B332" s="70">
        <v>1383</v>
      </c>
    </row>
    <row r="333" spans="1:8">
      <c r="A333" s="70" t="s">
        <v>865</v>
      </c>
      <c r="B333" s="70">
        <v>2104</v>
      </c>
    </row>
    <row r="335" spans="1:8">
      <c r="A335" s="70"/>
      <c r="B335" s="70" t="s">
        <v>857</v>
      </c>
      <c r="C335" s="70" t="s">
        <v>858</v>
      </c>
      <c r="D335" s="71" t="s">
        <v>860</v>
      </c>
      <c r="E335" s="71" t="s">
        <v>861</v>
      </c>
      <c r="F335" s="74" t="s">
        <v>862</v>
      </c>
      <c r="G335" s="14" t="s">
        <v>279</v>
      </c>
    </row>
    <row r="336" spans="1:8">
      <c r="A336" s="70" t="s">
        <v>269</v>
      </c>
      <c r="B336" s="71">
        <f>$B$289/2</f>
        <v>13.75</v>
      </c>
      <c r="C336" s="71">
        <f>$B$289</f>
        <v>27.5</v>
      </c>
      <c r="D336" s="71">
        <f t="shared" ref="D336:F336" si="33">$B$289</f>
        <v>27.5</v>
      </c>
      <c r="E336" s="71">
        <f t="shared" si="33"/>
        <v>27.5</v>
      </c>
      <c r="F336" s="71">
        <f t="shared" si="33"/>
        <v>27.5</v>
      </c>
      <c r="G336" s="71">
        <f>$B$289</f>
        <v>27.5</v>
      </c>
    </row>
    <row r="337" spans="1:7">
      <c r="A337" s="70" t="s">
        <v>868</v>
      </c>
      <c r="B337" s="71">
        <f>$B$330/$B$331</f>
        <v>1399.5</v>
      </c>
      <c r="C337" s="71">
        <f>$B$330/$B$331</f>
        <v>1399.5</v>
      </c>
      <c r="D337" s="71">
        <f>$B$332*(LOOKUP($B$287,$A$275:$A$284,$M$275:$M$284)/(LOOKUP($B$287,$A$275:$A$284,$M$275:$M$284)+LOOKUP($B$287,$A$275:$A$284,$N$275:$N$284)))</f>
        <v>52.800401875418615</v>
      </c>
      <c r="E337" s="71">
        <f>B332-D337</f>
        <v>1330.1995981245814</v>
      </c>
      <c r="F337" s="71">
        <f>B333*(LOOKUP($B$287,$A$275:$A$284,$K$275:$K$284)/(LOOKUP($B$287,$A$275:$A$284,$K$275:$K$284)+LOOKUP($B$287,$A$275:$A$284,$L$275:$L$284)))</f>
        <v>518.15861657722121</v>
      </c>
      <c r="G337" s="71">
        <f>B333-F337</f>
        <v>1585.8413834227788</v>
      </c>
    </row>
    <row r="338" spans="1:7">
      <c r="A338" s="70" t="s">
        <v>271</v>
      </c>
      <c r="B338" s="71">
        <f>B337/$B$297</f>
        <v>37.510050924685068</v>
      </c>
      <c r="C338" s="71">
        <f>C337/$B$297</f>
        <v>37.510050924685068</v>
      </c>
      <c r="D338" s="71">
        <f t="shared" ref="D338:G338" si="34">D337/$B$297</f>
        <v>1.4151809669101745</v>
      </c>
      <c r="E338" s="71">
        <f t="shared" si="34"/>
        <v>35.652629271631767</v>
      </c>
      <c r="F338" s="71">
        <f t="shared" si="34"/>
        <v>13.887928613701988</v>
      </c>
      <c r="G338" s="71">
        <f t="shared" si="34"/>
        <v>42.504459486003178</v>
      </c>
    </row>
    <row r="339" spans="1:7">
      <c r="A339" s="70" t="s">
        <v>270</v>
      </c>
      <c r="B339" s="71">
        <f>B338*$B$298</f>
        <v>356.58653628303546</v>
      </c>
      <c r="C339" s="71">
        <f>C338*$B$298</f>
        <v>356.58653628303546</v>
      </c>
      <c r="D339" s="71">
        <f t="shared" ref="D339:F339" si="35">D338*$B$298</f>
        <v>13.4533136256576</v>
      </c>
      <c r="E339" s="71">
        <f t="shared" si="35"/>
        <v>338.92909414814591</v>
      </c>
      <c r="F339" s="71">
        <f t="shared" si="35"/>
        <v>132.02457043978617</v>
      </c>
      <c r="G339" s="71">
        <f>G338*$B$298</f>
        <v>404.06551340409129</v>
      </c>
    </row>
    <row r="340" spans="1:7">
      <c r="A340" s="70" t="s">
        <v>847</v>
      </c>
      <c r="B340" s="74">
        <f>$B$316*(B339^$B$317)*($B$318^B336)</f>
        <v>483813.61185583571</v>
      </c>
      <c r="C340" s="74">
        <f t="shared" ref="C340:F340" si="36">$B$316*(C339^$B$317)*($B$318^C336)</f>
        <v>563781.60278945637</v>
      </c>
      <c r="D340" s="74">
        <f t="shared" si="36"/>
        <v>78133.897431145524</v>
      </c>
      <c r="E340" s="74">
        <f t="shared" si="36"/>
        <v>546778.05700102961</v>
      </c>
      <c r="F340" s="74">
        <f t="shared" si="36"/>
        <v>309677.93507658667</v>
      </c>
      <c r="G340" s="74">
        <f>$B$316*(G339^$B$317)*($B$318^G336)</f>
        <v>607919.20967535919</v>
      </c>
    </row>
    <row r="341" spans="1:7">
      <c r="A341" s="70" t="str">
        <f>"Equipment cost ("&amp;$B$128&amp;" USD)"</f>
        <v>Equipment cost (2024 USD)</v>
      </c>
      <c r="B341" s="14">
        <f>(B340/$C$146)*$B$146</f>
        <v>655466.41422294953</v>
      </c>
      <c r="C341" s="14">
        <f t="shared" ref="C341:G341" si="37">(C340/$C$146)*$B$146</f>
        <v>763806.34304143093</v>
      </c>
      <c r="D341" s="14">
        <f t="shared" si="37"/>
        <v>105855.11511759038</v>
      </c>
      <c r="E341" s="14">
        <f t="shared" si="37"/>
        <v>740770.08917444211</v>
      </c>
      <c r="F341" s="14">
        <f t="shared" si="37"/>
        <v>419548.93515708193</v>
      </c>
      <c r="G341" s="14">
        <f t="shared" si="37"/>
        <v>823603.58356740756</v>
      </c>
    </row>
    <row r="342" spans="1:7">
      <c r="A342" s="70" t="s">
        <v>859</v>
      </c>
      <c r="B342" s="74">
        <f>SUM(B341:G341)</f>
        <v>3509050.4802809022</v>
      </c>
      <c r="C342" s="71"/>
      <c r="D342" s="71"/>
      <c r="E342" s="71"/>
      <c r="F342" s="74"/>
      <c r="G342" s="14"/>
    </row>
    <row r="343" spans="1:7">
      <c r="A343" s="70"/>
      <c r="B343" s="70"/>
      <c r="C343" s="71"/>
      <c r="D343" s="71"/>
      <c r="E343" s="71"/>
      <c r="F343" s="74"/>
      <c r="G343" s="14"/>
    </row>
    <row r="344" spans="1:7">
      <c r="A344" s="70" t="s">
        <v>851</v>
      </c>
      <c r="C344" s="5"/>
      <c r="D344" s="15"/>
      <c r="F344" s="3"/>
      <c r="G344" s="3"/>
    </row>
    <row r="345" spans="1:7">
      <c r="A345" t="s">
        <v>266</v>
      </c>
      <c r="B345">
        <v>70693</v>
      </c>
      <c r="C345" s="5"/>
      <c r="D345" s="15"/>
      <c r="F345" s="3"/>
      <c r="G345" s="3"/>
    </row>
    <row r="346" spans="1:7">
      <c r="A346" t="s">
        <v>849</v>
      </c>
      <c r="B346">
        <v>0.56200000000000006</v>
      </c>
      <c r="C346" s="5"/>
      <c r="D346" s="15"/>
      <c r="F346" s="3"/>
      <c r="G346" s="3"/>
    </row>
    <row r="347" spans="1:7">
      <c r="A347" t="s">
        <v>267</v>
      </c>
      <c r="B347" s="1">
        <v>1.015215</v>
      </c>
      <c r="C347" s="5"/>
      <c r="D347" s="15"/>
      <c r="F347" s="3"/>
      <c r="G347" s="3"/>
    </row>
    <row r="348" spans="1:7">
      <c r="A348" t="s">
        <v>850</v>
      </c>
      <c r="B348">
        <v>300</v>
      </c>
      <c r="C348" s="5"/>
      <c r="D348" s="15"/>
      <c r="F348" s="3"/>
      <c r="G348" s="3"/>
    </row>
    <row r="349" spans="1:7">
      <c r="A349" t="s">
        <v>280</v>
      </c>
      <c r="B349" s="15">
        <v>0.5</v>
      </c>
      <c r="C349" s="5"/>
      <c r="D349" s="15"/>
      <c r="F349" s="3"/>
      <c r="G349" s="3"/>
    </row>
    <row r="350" spans="1:7">
      <c r="B350" s="70" t="s">
        <v>281</v>
      </c>
      <c r="C350" s="70" t="s">
        <v>847</v>
      </c>
      <c r="D350" t="str">
        <f>"Equipment cost ("&amp;$B$128&amp;" USD)"</f>
        <v>Equipment cost (2024 USD)</v>
      </c>
      <c r="E350" s="70"/>
      <c r="F350" s="70"/>
    </row>
    <row r="351" spans="1:7">
      <c r="A351" t="s">
        <v>175</v>
      </c>
      <c r="B351" s="73">
        <f>((($B$298*$B$348)/$B$122)/$B$349)</f>
        <v>5.4739499102929079</v>
      </c>
      <c r="C351" s="74">
        <f>$B$345*(B351^$B$346)*($B$347^$B$289)</f>
        <v>278385.86824218114</v>
      </c>
      <c r="D351" s="14">
        <f>(C351/$C$146)*$B$146</f>
        <v>377154.71899830957</v>
      </c>
      <c r="E351" s="74"/>
      <c r="F351" s="73"/>
    </row>
    <row r="352" spans="1:7">
      <c r="A352" t="s">
        <v>183</v>
      </c>
      <c r="B352" s="73">
        <f>((($B$298*$B$348)/$B$122)/$B$349)</f>
        <v>5.4739499102929079</v>
      </c>
      <c r="C352" s="74">
        <f>$B$345*(B352^$B$346)*($B$347^$B$289)</f>
        <v>278385.86824218114</v>
      </c>
      <c r="D352" s="14">
        <f>(C352/$C$146)*$B$146</f>
        <v>377154.71899830957</v>
      </c>
      <c r="E352" s="74"/>
      <c r="F352" s="73"/>
    </row>
    <row r="353" spans="1:6">
      <c r="A353" t="s">
        <v>859</v>
      </c>
      <c r="C353" s="74"/>
      <c r="D353" s="74">
        <f>SUM(D351:D352)</f>
        <v>754309.43799661915</v>
      </c>
      <c r="E353" s="74"/>
      <c r="F353" s="73"/>
    </row>
    <row r="355" spans="1:6">
      <c r="A355" t="s">
        <v>377</v>
      </c>
      <c r="C355" s="5"/>
    </row>
    <row r="356" spans="1:6">
      <c r="A356" t="s">
        <v>835</v>
      </c>
      <c r="B356" s="3">
        <f>$B$118</f>
        <v>15</v>
      </c>
      <c r="C356" s="5" t="s">
        <v>72</v>
      </c>
    </row>
    <row r="357" spans="1:6">
      <c r="A357" t="s">
        <v>836</v>
      </c>
      <c r="B357" s="3">
        <f>LOOKUP(B356,$A$275:$A$284,$B$275:$B$284)</f>
        <v>107.5</v>
      </c>
      <c r="C357" s="5" t="s">
        <v>59</v>
      </c>
    </row>
    <row r="358" spans="1:6">
      <c r="A358" t="s">
        <v>872</v>
      </c>
      <c r="B358" s="14">
        <f>IF('User Interface'!$B$15="Yes",B357*$B$15*$B$4*1000,0)</f>
        <v>2460679.2070504068</v>
      </c>
      <c r="C358" s="5"/>
    </row>
    <row r="359" spans="1:6">
      <c r="A359" t="s">
        <v>941</v>
      </c>
      <c r="B359" s="3">
        <f>LOOKUP($B$118,$A$275:$A$284,$T$275:$T$284)</f>
        <v>23.999999999999996</v>
      </c>
      <c r="C359" s="5" t="s">
        <v>943</v>
      </c>
    </row>
    <row r="360" spans="1:6">
      <c r="A360" t="s">
        <v>947</v>
      </c>
      <c r="B360" s="6">
        <v>0.02</v>
      </c>
      <c r="C360" s="5" t="s">
        <v>948</v>
      </c>
    </row>
    <row r="361" spans="1:6">
      <c r="B361" s="6">
        <f>((B360/1000)/A47)*1000*$B$153</f>
        <v>5.5292742814891322E-3</v>
      </c>
      <c r="C361" s="5" t="str">
        <f>$B$128&amp;" USD/m3"</f>
        <v>2024 USD/m3</v>
      </c>
    </row>
    <row r="362" spans="1:6">
      <c r="A362" t="s">
        <v>942</v>
      </c>
      <c r="B362" s="14">
        <f>B359*($B$4*1000)*B361</f>
        <v>39810.774826721747</v>
      </c>
      <c r="C362" s="5" t="str">
        <f>$B$128&amp;" USD"</f>
        <v>2024 USD</v>
      </c>
    </row>
    <row r="363" spans="1:6">
      <c r="A363" t="s">
        <v>852</v>
      </c>
      <c r="B363" s="14">
        <f>SUM(B271,B313,B342,D353)</f>
        <v>16530569.6655627</v>
      </c>
      <c r="C363" s="5" t="str">
        <f>$B$128&amp;" USD"</f>
        <v>2024 USD</v>
      </c>
    </row>
    <row r="364" spans="1:6">
      <c r="C364" s="5"/>
    </row>
    <row r="365" spans="1:6" s="30" customFormat="1">
      <c r="A365" s="30" t="s">
        <v>853</v>
      </c>
      <c r="C365" s="37"/>
    </row>
    <row r="366" spans="1:6">
      <c r="A366" t="s">
        <v>856</v>
      </c>
      <c r="B366">
        <v>1</v>
      </c>
      <c r="C366">
        <v>2</v>
      </c>
    </row>
    <row r="367" spans="1:6">
      <c r="A367" t="s">
        <v>854</v>
      </c>
      <c r="B367" s="5">
        <v>0</v>
      </c>
      <c r="C367" s="5">
        <v>1.2889618352521</v>
      </c>
    </row>
    <row r="368" spans="1:6">
      <c r="A368" t="s">
        <v>855</v>
      </c>
      <c r="B368" s="5">
        <v>1.2889618352521</v>
      </c>
      <c r="C368" s="5">
        <v>5.00235592321381</v>
      </c>
    </row>
    <row r="369" spans="1:4">
      <c r="A369" s="15" t="s">
        <v>293</v>
      </c>
      <c r="B369" s="15" t="s">
        <v>291</v>
      </c>
      <c r="C369" s="15" t="s">
        <v>292</v>
      </c>
    </row>
    <row r="370" spans="1:4">
      <c r="A370" t="s">
        <v>41</v>
      </c>
      <c r="B370" t="s">
        <v>37</v>
      </c>
      <c r="C370" s="3">
        <v>839851.31508921995</v>
      </c>
      <c r="D370" s="15"/>
    </row>
    <row r="371" spans="1:4">
      <c r="A371" s="3" t="s">
        <v>42</v>
      </c>
      <c r="B371" s="3" t="s">
        <v>37</v>
      </c>
      <c r="C371" s="3">
        <v>3821096.1690433603</v>
      </c>
    </row>
    <row r="372" spans="1:4">
      <c r="A372" s="3" t="s">
        <v>291</v>
      </c>
      <c r="B372" s="5">
        <v>0.25</v>
      </c>
      <c r="C372" s="3" t="s">
        <v>37</v>
      </c>
    </row>
    <row r="373" spans="1:4">
      <c r="A373" s="6" t="s">
        <v>294</v>
      </c>
      <c r="B373" s="5">
        <v>0.99276791981645496</v>
      </c>
      <c r="C373" s="6" t="s">
        <v>37</v>
      </c>
    </row>
    <row r="374" spans="1:4">
      <c r="A374" s="6" t="s">
        <v>295</v>
      </c>
      <c r="B374" s="14">
        <v>4561535.0254525496</v>
      </c>
      <c r="C374" s="6" t="s">
        <v>37</v>
      </c>
      <c r="D374" s="15"/>
    </row>
    <row r="375" spans="1:4">
      <c r="D375" s="15"/>
    </row>
    <row r="376" spans="1:4">
      <c r="A376" t="s">
        <v>296</v>
      </c>
      <c r="B376">
        <f>B4/1000</f>
        <v>0.3</v>
      </c>
      <c r="C376" s="5" t="s">
        <v>94</v>
      </c>
      <c r="D376" s="15"/>
    </row>
    <row r="377" spans="1:4">
      <c r="A377" t="s">
        <v>297</v>
      </c>
      <c r="B377" s="75">
        <f>IF(B376&lt;=B368,B374*((B376/B373)^B372),(C370*B376)+C371)</f>
        <v>3382045.0935988706</v>
      </c>
      <c r="C377" s="5" t="s">
        <v>298</v>
      </c>
      <c r="D377" s="15"/>
    </row>
    <row r="378" spans="1:4">
      <c r="B378" s="75">
        <f>(B377/$C$148)*$B$148</f>
        <v>4659928.6785793267</v>
      </c>
      <c r="C378" s="5" t="str">
        <f>$B$128&amp;" USD"</f>
        <v>2024 USD</v>
      </c>
      <c r="D378" s="15"/>
    </row>
    <row r="379" spans="1:4">
      <c r="D379" s="15"/>
    </row>
    <row r="380" spans="1:4">
      <c r="A380" t="s">
        <v>1109</v>
      </c>
      <c r="D380" s="15"/>
    </row>
    <row r="381" spans="1:4">
      <c r="A381" t="s">
        <v>1111</v>
      </c>
      <c r="B381" s="15">
        <v>0.75</v>
      </c>
      <c r="D381" s="15"/>
    </row>
    <row r="382" spans="1:4">
      <c r="A382" t="s">
        <v>1112</v>
      </c>
      <c r="B382" t="s">
        <v>1113</v>
      </c>
      <c r="C382" t="s">
        <v>191</v>
      </c>
      <c r="D382" s="15" t="s">
        <v>1117</v>
      </c>
    </row>
    <row r="383" spans="1:4">
      <c r="A383" s="4">
        <f>B119</f>
        <v>1.5</v>
      </c>
      <c r="B383" s="3">
        <v>1073</v>
      </c>
      <c r="D383" s="15"/>
    </row>
    <row r="384" spans="1:4">
      <c r="A384">
        <v>2</v>
      </c>
      <c r="B384" s="3">
        <v>1074.07</v>
      </c>
      <c r="C384" s="3">
        <f t="shared" ref="C384:C392" si="38">(($A$50*$A$67)/($A$64*36))*(($B$5*(A384-A383))/(AVERAGE(B383:B384)*$B$381))</f>
        <v>5.9035034375272275</v>
      </c>
      <c r="D384" s="5">
        <f>C384/($B$5/$A$64)</f>
        <v>0.17250037044454561</v>
      </c>
    </row>
    <row r="385" spans="1:4">
      <c r="A385">
        <v>3</v>
      </c>
      <c r="B385" s="3">
        <v>1075.1300000000001</v>
      </c>
      <c r="C385" s="3">
        <f t="shared" si="38"/>
        <v>11.795305346744446</v>
      </c>
      <c r="D385" s="5">
        <f t="shared" ref="D385:D392" si="39">C385/($B$5/$A$64)</f>
        <v>0.34465882223187272</v>
      </c>
    </row>
    <row r="386" spans="1:4">
      <c r="A386">
        <v>4</v>
      </c>
      <c r="B386" s="3">
        <v>1076.2</v>
      </c>
      <c r="C386" s="3">
        <f t="shared" si="38"/>
        <v>11.783626989454506</v>
      </c>
      <c r="D386" s="5">
        <f t="shared" si="39"/>
        <v>0.34431758063186069</v>
      </c>
    </row>
    <row r="387" spans="1:4">
      <c r="A387">
        <v>5</v>
      </c>
      <c r="B387" s="3">
        <v>1079.4000000000001</v>
      </c>
      <c r="C387" s="3">
        <f t="shared" si="38"/>
        <v>11.760284956032267</v>
      </c>
      <c r="D387" s="5">
        <f t="shared" si="39"/>
        <v>0.34363552641526285</v>
      </c>
    </row>
    <row r="388" spans="1:4">
      <c r="A388">
        <v>6</v>
      </c>
      <c r="B388" s="3">
        <v>1082.5999999999999</v>
      </c>
      <c r="C388" s="3">
        <f t="shared" si="38"/>
        <v>11.725471901583331</v>
      </c>
      <c r="D388" s="5">
        <f t="shared" si="39"/>
        <v>0.34261828896426494</v>
      </c>
    </row>
    <row r="389" spans="1:4">
      <c r="A389">
        <v>7</v>
      </c>
      <c r="B389" s="3">
        <v>1085.8</v>
      </c>
      <c r="C389" s="3">
        <f t="shared" si="38"/>
        <v>11.690864347548036</v>
      </c>
      <c r="D389" s="5">
        <f t="shared" si="39"/>
        <v>0.34160705623535365</v>
      </c>
    </row>
    <row r="390" spans="1:4">
      <c r="A390">
        <v>8</v>
      </c>
      <c r="B390" s="3">
        <v>1089</v>
      </c>
      <c r="C390" s="3">
        <f t="shared" si="38"/>
        <v>11.65646047968694</v>
      </c>
      <c r="D390" s="5">
        <f t="shared" si="39"/>
        <v>0.34060177521645241</v>
      </c>
    </row>
    <row r="391" spans="1:4">
      <c r="A391">
        <v>9</v>
      </c>
      <c r="B391" s="3">
        <v>1092</v>
      </c>
      <c r="C391" s="3">
        <f t="shared" si="38"/>
        <v>11.623324278415023</v>
      </c>
      <c r="D391" s="5">
        <f t="shared" si="39"/>
        <v>0.33963353541528701</v>
      </c>
    </row>
    <row r="392" spans="1:4">
      <c r="A392">
        <f>B124</f>
        <v>10</v>
      </c>
      <c r="B392" s="3">
        <v>1095.2</v>
      </c>
      <c r="C392" s="3">
        <f t="shared" si="38"/>
        <v>11.590375937830634</v>
      </c>
      <c r="D392" s="5">
        <f t="shared" si="39"/>
        <v>0.33867078490341118</v>
      </c>
    </row>
    <row r="393" spans="1:4">
      <c r="A393" t="s">
        <v>45</v>
      </c>
      <c r="C393" s="3">
        <f>SUM(C384:C392)</f>
        <v>99.529217674822419</v>
      </c>
      <c r="D393" s="5">
        <f>SUM(D384:D392)</f>
        <v>2.9082437404583108</v>
      </c>
    </row>
    <row r="394" spans="1:4">
      <c r="C394" s="3"/>
      <c r="D394" s="5"/>
    </row>
    <row r="395" spans="1:4">
      <c r="A395" t="s">
        <v>1118</v>
      </c>
      <c r="B395" t="s">
        <v>900</v>
      </c>
      <c r="C395" s="3" t="s">
        <v>1120</v>
      </c>
      <c r="D395" s="5" t="s">
        <v>1119</v>
      </c>
    </row>
    <row r="396" spans="1:4">
      <c r="A396" s="3">
        <f>B120</f>
        <v>-28.2</v>
      </c>
      <c r="B396">
        <v>15</v>
      </c>
      <c r="C396" s="1">
        <v>1.921</v>
      </c>
      <c r="D396" s="5"/>
    </row>
    <row r="397" spans="1:4">
      <c r="A397">
        <v>-27</v>
      </c>
      <c r="B397">
        <v>15</v>
      </c>
      <c r="C397" s="1">
        <v>1.9239999999999999</v>
      </c>
      <c r="D397" s="214">
        <f>AVERAGE(C396:C397)*(A397-A396)*(1000/3600)</f>
        <v>0.64083333333333292</v>
      </c>
    </row>
    <row r="398" spans="1:4">
      <c r="A398">
        <v>-26</v>
      </c>
      <c r="B398">
        <v>15</v>
      </c>
      <c r="C398" s="1">
        <v>1.927</v>
      </c>
      <c r="D398" s="214">
        <f t="shared" ref="D398:D438" si="40">AVERAGE(C397:C398)*(A398-A397)*(1000/3600)</f>
        <v>0.53486111111111112</v>
      </c>
    </row>
    <row r="399" spans="1:4">
      <c r="A399">
        <v>-25</v>
      </c>
      <c r="B399">
        <v>15</v>
      </c>
      <c r="C399" s="1">
        <v>1.93</v>
      </c>
      <c r="D399" s="214">
        <f t="shared" si="40"/>
        <v>0.53569444444444447</v>
      </c>
    </row>
    <row r="400" spans="1:4">
      <c r="A400">
        <v>-24</v>
      </c>
      <c r="B400">
        <v>15</v>
      </c>
      <c r="C400" s="1">
        <v>1.9330000000000001</v>
      </c>
      <c r="D400" s="214">
        <f t="shared" si="40"/>
        <v>0.53652777777777783</v>
      </c>
    </row>
    <row r="401" spans="1:4">
      <c r="A401">
        <v>-23</v>
      </c>
      <c r="B401">
        <v>15</v>
      </c>
      <c r="C401" s="1">
        <v>1.9359999999999999</v>
      </c>
      <c r="D401" s="214">
        <f t="shared" si="40"/>
        <v>0.53736111111111107</v>
      </c>
    </row>
    <row r="402" spans="1:4">
      <c r="A402">
        <v>-22</v>
      </c>
      <c r="B402">
        <v>15</v>
      </c>
      <c r="C402" s="1">
        <v>1.9390000000000001</v>
      </c>
      <c r="D402" s="214">
        <f t="shared" si="40"/>
        <v>0.53819444444444442</v>
      </c>
    </row>
    <row r="403" spans="1:4">
      <c r="A403">
        <v>-21</v>
      </c>
      <c r="B403">
        <v>15</v>
      </c>
      <c r="C403" s="1">
        <v>1.9419999999999999</v>
      </c>
      <c r="D403" s="214">
        <f t="shared" si="40"/>
        <v>0.53902777777777788</v>
      </c>
    </row>
    <row r="404" spans="1:4">
      <c r="A404">
        <v>-20</v>
      </c>
      <c r="B404">
        <v>15</v>
      </c>
      <c r="C404" s="1">
        <v>1.9450000000000001</v>
      </c>
      <c r="D404" s="214">
        <f t="shared" si="40"/>
        <v>0.53986111111111112</v>
      </c>
    </row>
    <row r="405" spans="1:4">
      <c r="A405">
        <v>-19</v>
      </c>
      <c r="B405">
        <v>15</v>
      </c>
      <c r="C405" s="1">
        <v>1.9494</v>
      </c>
      <c r="D405" s="214">
        <f t="shared" si="40"/>
        <v>0.54088888888888897</v>
      </c>
    </row>
    <row r="406" spans="1:4">
      <c r="A406">
        <v>-18</v>
      </c>
      <c r="B406">
        <v>15</v>
      </c>
      <c r="C406" s="1">
        <v>1.9538</v>
      </c>
      <c r="D406" s="214">
        <f t="shared" si="40"/>
        <v>0.5421111111111111</v>
      </c>
    </row>
    <row r="407" spans="1:4">
      <c r="A407">
        <v>-17</v>
      </c>
      <c r="B407">
        <v>15</v>
      </c>
      <c r="C407" s="1">
        <v>1.9581999999999999</v>
      </c>
      <c r="D407" s="214">
        <f t="shared" si="40"/>
        <v>0.54333333333333333</v>
      </c>
    </row>
    <row r="408" spans="1:4">
      <c r="A408">
        <v>-16</v>
      </c>
      <c r="B408">
        <v>15</v>
      </c>
      <c r="C408" s="1">
        <v>1.9625999999999999</v>
      </c>
      <c r="D408" s="214">
        <f t="shared" si="40"/>
        <v>0.54455555555555557</v>
      </c>
    </row>
    <row r="409" spans="1:4">
      <c r="A409">
        <v>-15</v>
      </c>
      <c r="B409">
        <v>15</v>
      </c>
      <c r="C409" s="1">
        <v>1.9670000000000001</v>
      </c>
      <c r="D409" s="214">
        <f t="shared" si="40"/>
        <v>0.54577777777777781</v>
      </c>
    </row>
    <row r="410" spans="1:4">
      <c r="A410">
        <v>-14</v>
      </c>
      <c r="B410">
        <v>15</v>
      </c>
      <c r="C410" s="1">
        <v>1.9714</v>
      </c>
      <c r="D410" s="214">
        <f t="shared" si="40"/>
        <v>0.54700000000000004</v>
      </c>
    </row>
    <row r="411" spans="1:4">
      <c r="A411">
        <v>-13</v>
      </c>
      <c r="B411">
        <v>15</v>
      </c>
      <c r="C411" s="1">
        <v>1.9758</v>
      </c>
      <c r="D411" s="214">
        <f t="shared" si="40"/>
        <v>0.54822222222222228</v>
      </c>
    </row>
    <row r="412" spans="1:4">
      <c r="A412">
        <v>-12</v>
      </c>
      <c r="B412">
        <v>15</v>
      </c>
      <c r="C412" s="1">
        <v>1.9802</v>
      </c>
      <c r="D412" s="214">
        <f t="shared" si="40"/>
        <v>0.54944444444444451</v>
      </c>
    </row>
    <row r="413" spans="1:4">
      <c r="A413">
        <v>-11</v>
      </c>
      <c r="B413">
        <v>15</v>
      </c>
      <c r="C413" s="1">
        <v>1.9845999999999999</v>
      </c>
      <c r="D413" s="214">
        <f t="shared" si="40"/>
        <v>0.55066666666666664</v>
      </c>
    </row>
    <row r="414" spans="1:4">
      <c r="A414">
        <v>-10</v>
      </c>
      <c r="B414">
        <v>15</v>
      </c>
      <c r="C414" s="1">
        <v>1.9890000000000001</v>
      </c>
      <c r="D414" s="214">
        <f t="shared" si="40"/>
        <v>0.55188888888888898</v>
      </c>
    </row>
    <row r="415" spans="1:4">
      <c r="A415">
        <v>-9</v>
      </c>
      <c r="B415">
        <v>15</v>
      </c>
      <c r="C415" s="1">
        <v>1.9950000000000001</v>
      </c>
      <c r="D415" s="214">
        <f t="shared" si="40"/>
        <v>0.55333333333333334</v>
      </c>
    </row>
    <row r="416" spans="1:4">
      <c r="A416">
        <v>-8</v>
      </c>
      <c r="B416">
        <v>15</v>
      </c>
      <c r="C416" s="1">
        <v>2.0009999999999999</v>
      </c>
      <c r="D416" s="214">
        <f t="shared" si="40"/>
        <v>0.55500000000000005</v>
      </c>
    </row>
    <row r="417" spans="1:4">
      <c r="A417">
        <v>-7</v>
      </c>
      <c r="B417">
        <v>15</v>
      </c>
      <c r="C417" s="1">
        <v>2.0070000000000001</v>
      </c>
      <c r="D417" s="214">
        <f t="shared" si="40"/>
        <v>0.55666666666666664</v>
      </c>
    </row>
    <row r="418" spans="1:4">
      <c r="A418">
        <v>-6</v>
      </c>
      <c r="B418">
        <v>15</v>
      </c>
      <c r="C418" s="1">
        <v>2.0129999999999999</v>
      </c>
      <c r="D418" s="214">
        <f t="shared" si="40"/>
        <v>0.55833333333333335</v>
      </c>
    </row>
    <row r="419" spans="1:4">
      <c r="A419">
        <v>-5</v>
      </c>
      <c r="B419">
        <v>15</v>
      </c>
      <c r="C419" s="1">
        <v>2.0190000000000001</v>
      </c>
      <c r="D419" s="214">
        <f t="shared" si="40"/>
        <v>0.56000000000000005</v>
      </c>
    </row>
    <row r="420" spans="1:4">
      <c r="A420">
        <v>-4</v>
      </c>
      <c r="B420">
        <v>15</v>
      </c>
      <c r="C420" s="1">
        <v>2.0249999999999999</v>
      </c>
      <c r="D420" s="214">
        <f t="shared" si="40"/>
        <v>0.56166666666666676</v>
      </c>
    </row>
    <row r="421" spans="1:4">
      <c r="A421">
        <v>-3</v>
      </c>
      <c r="B421">
        <v>15</v>
      </c>
      <c r="C421" s="1">
        <v>2.0310000000000001</v>
      </c>
      <c r="D421" s="214">
        <f t="shared" si="40"/>
        <v>0.56333333333333335</v>
      </c>
    </row>
    <row r="422" spans="1:4">
      <c r="A422">
        <v>-2</v>
      </c>
      <c r="B422">
        <v>15</v>
      </c>
      <c r="C422" s="1">
        <v>2.0369999999999999</v>
      </c>
      <c r="D422" s="214">
        <f t="shared" si="40"/>
        <v>0.56499999999999995</v>
      </c>
    </row>
    <row r="423" spans="1:4">
      <c r="A423">
        <v>-1</v>
      </c>
      <c r="B423">
        <v>15</v>
      </c>
      <c r="C423" s="1">
        <v>2.0430000000000001</v>
      </c>
      <c r="D423" s="214">
        <f t="shared" si="40"/>
        <v>0.56666666666666665</v>
      </c>
    </row>
    <row r="424" spans="1:4">
      <c r="A424">
        <v>0</v>
      </c>
      <c r="B424">
        <v>15</v>
      </c>
      <c r="C424" s="1">
        <v>2.0489999999999999</v>
      </c>
      <c r="D424" s="214">
        <f t="shared" si="40"/>
        <v>0.56833333333333347</v>
      </c>
    </row>
    <row r="425" spans="1:4">
      <c r="A425">
        <v>1</v>
      </c>
      <c r="B425">
        <v>15</v>
      </c>
      <c r="C425" s="1">
        <v>2.0573000000000001</v>
      </c>
      <c r="D425" s="214">
        <f t="shared" si="40"/>
        <v>0.57031944444444449</v>
      </c>
    </row>
    <row r="426" spans="1:4">
      <c r="A426">
        <v>2</v>
      </c>
      <c r="B426">
        <v>15</v>
      </c>
      <c r="C426" s="1">
        <v>2.0655999999999999</v>
      </c>
      <c r="D426" s="214">
        <f t="shared" si="40"/>
        <v>0.57262499999999994</v>
      </c>
    </row>
    <row r="427" spans="1:4">
      <c r="A427">
        <v>3</v>
      </c>
      <c r="B427">
        <v>15</v>
      </c>
      <c r="C427" s="1">
        <v>2.0739000000000001</v>
      </c>
      <c r="D427" s="214">
        <f t="shared" si="40"/>
        <v>0.57493055555555561</v>
      </c>
    </row>
    <row r="428" spans="1:4">
      <c r="A428">
        <v>4</v>
      </c>
      <c r="B428">
        <v>15</v>
      </c>
      <c r="C428" s="1">
        <v>2.0821999999999998</v>
      </c>
      <c r="D428" s="214">
        <f t="shared" si="40"/>
        <v>0.57723611111111117</v>
      </c>
    </row>
    <row r="429" spans="1:4">
      <c r="A429">
        <v>5</v>
      </c>
      <c r="B429">
        <v>15</v>
      </c>
      <c r="C429" s="1">
        <v>2.0905</v>
      </c>
      <c r="D429" s="214">
        <f t="shared" si="40"/>
        <v>0.57954166666666662</v>
      </c>
    </row>
    <row r="430" spans="1:4">
      <c r="A430">
        <v>6</v>
      </c>
      <c r="B430">
        <v>15</v>
      </c>
      <c r="C430" s="1">
        <v>2.0988000000000002</v>
      </c>
      <c r="D430" s="214">
        <f t="shared" si="40"/>
        <v>0.58184722222222229</v>
      </c>
    </row>
    <row r="431" spans="1:4">
      <c r="A431">
        <v>7</v>
      </c>
      <c r="B431">
        <v>15</v>
      </c>
      <c r="C431" s="1">
        <v>2.1071</v>
      </c>
      <c r="D431" s="214">
        <f t="shared" si="40"/>
        <v>0.58415277777777774</v>
      </c>
    </row>
    <row r="432" spans="1:4">
      <c r="A432">
        <v>8</v>
      </c>
      <c r="B432">
        <v>15</v>
      </c>
      <c r="C432" s="1">
        <v>2.1154000000000002</v>
      </c>
      <c r="D432" s="214">
        <f t="shared" si="40"/>
        <v>0.58645833333333341</v>
      </c>
    </row>
    <row r="433" spans="1:4">
      <c r="A433">
        <v>9</v>
      </c>
      <c r="B433">
        <v>15</v>
      </c>
      <c r="C433" s="1">
        <v>2.1236999999999999</v>
      </c>
      <c r="D433" s="214">
        <f t="shared" si="40"/>
        <v>0.58876388888888898</v>
      </c>
    </row>
    <row r="434" spans="1:4">
      <c r="A434">
        <v>10</v>
      </c>
      <c r="B434">
        <v>15</v>
      </c>
      <c r="C434" s="1">
        <v>2.1320000000000001</v>
      </c>
      <c r="D434" s="214">
        <f t="shared" si="40"/>
        <v>0.59106944444444443</v>
      </c>
    </row>
    <row r="435" spans="1:4">
      <c r="A435">
        <v>11</v>
      </c>
      <c r="B435">
        <v>15</v>
      </c>
      <c r="C435" s="1">
        <v>2.1436000000000002</v>
      </c>
      <c r="D435" s="214">
        <f t="shared" si="40"/>
        <v>0.59383333333333344</v>
      </c>
    </row>
    <row r="436" spans="1:4">
      <c r="A436">
        <v>12</v>
      </c>
      <c r="B436">
        <v>15</v>
      </c>
      <c r="C436" s="1">
        <v>2.1551999999999998</v>
      </c>
      <c r="D436" s="214">
        <f t="shared" si="40"/>
        <v>0.59705555555555556</v>
      </c>
    </row>
    <row r="437" spans="1:4">
      <c r="A437">
        <v>13</v>
      </c>
      <c r="B437">
        <v>15</v>
      </c>
      <c r="C437" s="1">
        <v>2.1667999999999998</v>
      </c>
      <c r="D437" s="214">
        <f t="shared" si="40"/>
        <v>0.60027777777777769</v>
      </c>
    </row>
    <row r="438" spans="1:4">
      <c r="A438">
        <v>14</v>
      </c>
      <c r="B438">
        <v>15</v>
      </c>
      <c r="C438" s="1">
        <v>2.1783999999999999</v>
      </c>
      <c r="D438" s="214">
        <f t="shared" si="40"/>
        <v>0.60350000000000004</v>
      </c>
    </row>
    <row r="439" spans="1:4">
      <c r="A439">
        <f>B123</f>
        <v>15</v>
      </c>
      <c r="B439">
        <v>15</v>
      </c>
      <c r="C439" s="1">
        <v>2.19</v>
      </c>
      <c r="D439" s="214">
        <f>AVERAGE(C438:C439)*(A439-A438)*(1000/3600)</f>
        <v>0.60672222222222216</v>
      </c>
    </row>
    <row r="440" spans="1:4">
      <c r="A440" t="s">
        <v>45</v>
      </c>
      <c r="D440" s="214">
        <f>SUM(D397:D439)</f>
        <v>24.282916666666662</v>
      </c>
    </row>
    <row r="441" spans="1:4">
      <c r="D441" s="15"/>
    </row>
    <row r="442" spans="1:4">
      <c r="A442" t="s">
        <v>213</v>
      </c>
      <c r="B442" s="3">
        <f>D393</f>
        <v>2.9082437404583108</v>
      </c>
      <c r="C442" t="s">
        <v>59</v>
      </c>
    </row>
    <row r="443" spans="1:4">
      <c r="A443" t="s">
        <v>212</v>
      </c>
      <c r="B443" s="3">
        <v>0</v>
      </c>
      <c r="C443" t="s">
        <v>59</v>
      </c>
    </row>
    <row r="444" spans="1:4">
      <c r="A444" t="s">
        <v>61</v>
      </c>
      <c r="B444" s="3">
        <f>SUM(B442:B443)</f>
        <v>2.9082437404583108</v>
      </c>
      <c r="C444" t="s">
        <v>59</v>
      </c>
    </row>
    <row r="445" spans="1:4">
      <c r="A445" t="s">
        <v>872</v>
      </c>
      <c r="B445" s="14">
        <f>IF('User Interface'!$B$16="Yes",B444*$B$15*$B$4*1000,0)</f>
        <v>66569.813034235034</v>
      </c>
    </row>
    <row r="446" spans="1:4">
      <c r="B446" s="6"/>
    </row>
    <row r="447" spans="1:4">
      <c r="D447" s="15"/>
    </row>
    <row r="448" spans="1:4" s="30" customFormat="1">
      <c r="A448" s="30" t="s">
        <v>731</v>
      </c>
    </row>
    <row r="449" spans="1:3" s="19" customFormat="1">
      <c r="B449" s="19" t="s">
        <v>452</v>
      </c>
      <c r="C449" s="19" t="s">
        <v>453</v>
      </c>
    </row>
    <row r="450" spans="1:3">
      <c r="A450" t="s">
        <v>452</v>
      </c>
      <c r="B450" t="s">
        <v>496</v>
      </c>
      <c r="C450" t="s">
        <v>496</v>
      </c>
    </row>
    <row r="451" spans="1:3">
      <c r="A451" t="s">
        <v>487</v>
      </c>
      <c r="B451" s="14">
        <f>194613.84-14780-15101.84</f>
        <v>164732</v>
      </c>
    </row>
    <row r="452" spans="1:3">
      <c r="A452" t="s">
        <v>488</v>
      </c>
      <c r="B452" s="14">
        <v>160563</v>
      </c>
    </row>
    <row r="453" spans="1:3">
      <c r="A453" t="s">
        <v>489</v>
      </c>
      <c r="B453" s="14">
        <f>202432.2-14780-15461.1-11.5</f>
        <v>172179.6</v>
      </c>
    </row>
    <row r="454" spans="1:3">
      <c r="A454" t="s">
        <v>494</v>
      </c>
      <c r="B454" s="14">
        <f>191341.84-8010-15101.84</f>
        <v>168230</v>
      </c>
    </row>
    <row r="455" spans="1:3">
      <c r="A455" t="s">
        <v>492</v>
      </c>
      <c r="B455" s="14">
        <v>168060</v>
      </c>
    </row>
    <row r="456" spans="1:3">
      <c r="A456" t="s">
        <v>495</v>
      </c>
      <c r="B456" s="14">
        <f>190704.96-8010-15045.46-11.5</f>
        <v>167638</v>
      </c>
    </row>
    <row r="457" spans="1:3">
      <c r="A457" t="s">
        <v>50</v>
      </c>
      <c r="B457" s="14">
        <f>AVERAGE(B451:B456)</f>
        <v>166900.43333333332</v>
      </c>
    </row>
    <row r="458" spans="1:3">
      <c r="B458" s="6"/>
    </row>
    <row r="459" spans="1:3">
      <c r="A459" t="s">
        <v>453</v>
      </c>
    </row>
    <row r="460" spans="1:3">
      <c r="A460" t="s">
        <v>486</v>
      </c>
      <c r="C460" s="14">
        <v>187898.5</v>
      </c>
    </row>
    <row r="461" spans="1:3">
      <c r="A461" t="s">
        <v>491</v>
      </c>
      <c r="C461" s="14">
        <v>203109</v>
      </c>
    </row>
    <row r="462" spans="1:3">
      <c r="A462" t="s">
        <v>493</v>
      </c>
      <c r="C462" s="14">
        <v>186791</v>
      </c>
    </row>
    <row r="463" spans="1:3">
      <c r="A463" t="s">
        <v>490</v>
      </c>
      <c r="C463" s="14">
        <f>216243.46-8010-17177.46</f>
        <v>191056</v>
      </c>
    </row>
    <row r="464" spans="1:3">
      <c r="A464" t="s">
        <v>50</v>
      </c>
      <c r="C464" s="14">
        <f>AVERAGE(C460:C463)</f>
        <v>192213.625</v>
      </c>
    </row>
    <row r="466" spans="1:4">
      <c r="A466" t="s">
        <v>759</v>
      </c>
      <c r="B466" s="4">
        <f>34730639/1000000</f>
        <v>34.730638999999996</v>
      </c>
      <c r="C466" s="4">
        <f>35711759/1000000</f>
        <v>35.711759000000001</v>
      </c>
      <c r="D466" s="41" t="s">
        <v>760</v>
      </c>
    </row>
    <row r="467" spans="1:4">
      <c r="A467" t="s">
        <v>764</v>
      </c>
      <c r="B467" s="3">
        <f>15978/$A$48</f>
        <v>7247.5075069626519</v>
      </c>
      <c r="C467" s="3">
        <f>17493/$A$48</f>
        <v>7934.7007647576456</v>
      </c>
      <c r="D467" t="s">
        <v>44</v>
      </c>
    </row>
    <row r="469" spans="1:4">
      <c r="A469" t="s">
        <v>497</v>
      </c>
      <c r="B469" t="s">
        <v>499</v>
      </c>
      <c r="C469" t="s">
        <v>513</v>
      </c>
    </row>
    <row r="470" spans="1:4">
      <c r="A470" t="s">
        <v>498</v>
      </c>
      <c r="B470" s="3">
        <v>4080</v>
      </c>
      <c r="C470" s="41">
        <f>(B470/$A$48)/1000</f>
        <v>1.8506590704974102</v>
      </c>
      <c r="D470" s="19"/>
    </row>
    <row r="471" spans="1:4">
      <c r="A471" t="s">
        <v>500</v>
      </c>
      <c r="B471" s="3">
        <v>3230</v>
      </c>
      <c r="C471" s="41">
        <f>(B471/$A$48)/1000</f>
        <v>1.4651050974771163</v>
      </c>
      <c r="D471" s="19"/>
    </row>
    <row r="472" spans="1:4">
      <c r="A472" t="s">
        <v>515</v>
      </c>
      <c r="B472" s="3">
        <f>(C472*1000)*A48</f>
        <v>1051.5197093213735</v>
      </c>
      <c r="C472" s="41">
        <f>150*A47*(B73/1000)</f>
        <v>0.47696188427999997</v>
      </c>
      <c r="D472" s="19"/>
    </row>
    <row r="473" spans="1:4">
      <c r="A473" t="s">
        <v>505</v>
      </c>
      <c r="B473">
        <v>3060</v>
      </c>
      <c r="C473" s="41">
        <f t="shared" ref="C473:C480" si="41">(B473/$A$48)/1000</f>
        <v>1.3879943028730577</v>
      </c>
      <c r="D473" s="19"/>
    </row>
    <row r="474" spans="1:4">
      <c r="A474" t="s">
        <v>504</v>
      </c>
      <c r="B474">
        <v>3000</v>
      </c>
      <c r="C474" s="41">
        <f t="shared" si="41"/>
        <v>1.3607787283069193</v>
      </c>
    </row>
    <row r="475" spans="1:4">
      <c r="A475" t="s">
        <v>501</v>
      </c>
      <c r="B475" s="43">
        <v>2890</v>
      </c>
      <c r="C475" s="41">
        <f t="shared" si="41"/>
        <v>1.3108835082689989</v>
      </c>
    </row>
    <row r="476" spans="1:4">
      <c r="A476" t="s">
        <v>502</v>
      </c>
      <c r="B476" s="43">
        <v>2040</v>
      </c>
      <c r="C476" s="41">
        <f t="shared" si="41"/>
        <v>0.92532953524870509</v>
      </c>
    </row>
    <row r="477" spans="1:4">
      <c r="A477" s="19" t="s">
        <v>503</v>
      </c>
      <c r="B477" s="3">
        <v>1700</v>
      </c>
      <c r="C477" s="41">
        <f t="shared" si="41"/>
        <v>0.77110794604058752</v>
      </c>
    </row>
    <row r="478" spans="1:4">
      <c r="A478" t="s">
        <v>508</v>
      </c>
      <c r="B478" s="3">
        <f>SUM(B470:B473)</f>
        <v>11421.519709321374</v>
      </c>
      <c r="C478" s="41">
        <f t="shared" si="41"/>
        <v>5.1807203551275842</v>
      </c>
    </row>
    <row r="479" spans="1:4">
      <c r="A479" t="s">
        <v>510</v>
      </c>
      <c r="B479" s="3">
        <f>SUM(B470:B474)</f>
        <v>14421.519709321374</v>
      </c>
      <c r="C479" s="41">
        <f t="shared" si="41"/>
        <v>6.5414990834345037</v>
      </c>
    </row>
    <row r="480" spans="1:4">
      <c r="A480" t="s">
        <v>509</v>
      </c>
      <c r="B480" s="3">
        <f>SUM(B475:B477)</f>
        <v>6630</v>
      </c>
      <c r="C480" s="41">
        <f t="shared" si="41"/>
        <v>3.0073209895582913</v>
      </c>
    </row>
    <row r="482" spans="1:4">
      <c r="A482" t="s">
        <v>377</v>
      </c>
      <c r="C482" s="41"/>
    </row>
    <row r="483" spans="1:4">
      <c r="A483" t="s">
        <v>220</v>
      </c>
      <c r="B483" s="14">
        <f>IF('User Interface'!$B$8=Options!$E$4,0,IF('User Interface'!$B$12=Options!$G$4,B457,C464))*(1+D242)*$B$155</f>
        <v>175589.68714374996</v>
      </c>
      <c r="C483" s="41" t="str">
        <f>$B$128&amp;" USD"</f>
        <v>2024 USD</v>
      </c>
      <c r="D483" s="17"/>
    </row>
    <row r="484" spans="1:4">
      <c r="A484" t="s">
        <v>686</v>
      </c>
      <c r="B484" s="3">
        <v>1000000</v>
      </c>
      <c r="C484" s="41" t="s">
        <v>8</v>
      </c>
    </row>
    <row r="485" spans="1:4">
      <c r="B485" s="4">
        <f>IF('User Interface'!$B$8=Options!$E$4,0,B484/(B749*(B20*2)))</f>
        <v>4.5451784915929849</v>
      </c>
      <c r="C485" s="41" t="s">
        <v>9</v>
      </c>
    </row>
    <row r="486" spans="1:4">
      <c r="A486" t="s">
        <v>688</v>
      </c>
      <c r="B486" s="3">
        <f>IF('User Interface'!$B$8=Options!$E$4,0,ROUNDUP(B746*(B9/B485),0))</f>
        <v>80</v>
      </c>
      <c r="C486" s="41" t="s">
        <v>38</v>
      </c>
    </row>
    <row r="487" spans="1:4">
      <c r="A487" t="s">
        <v>739</v>
      </c>
      <c r="B487" s="14">
        <f>B483*B486</f>
        <v>14047174.971499998</v>
      </c>
      <c r="C487" s="41" t="str">
        <f>$B$128&amp;" USD"</f>
        <v>2024 USD</v>
      </c>
    </row>
    <row r="488" spans="1:4">
      <c r="A488" t="s">
        <v>820</v>
      </c>
      <c r="B488" s="14">
        <f>IF('User Interface'!$B$8=Options!$E$4,0,$BR$242*SUM($B$750:$B$751))</f>
        <v>494646.85597243381</v>
      </c>
      <c r="C488" s="41" t="s">
        <v>3</v>
      </c>
    </row>
    <row r="489" spans="1:4">
      <c r="A489" t="s">
        <v>17</v>
      </c>
      <c r="B489" s="14">
        <f>IF('User Interface'!$B$8=Options!$E$4,0,$BS$242*SUM($B$750:$B$751))</f>
        <v>115888.69197068451</v>
      </c>
      <c r="C489" s="41" t="s">
        <v>3</v>
      </c>
    </row>
    <row r="490" spans="1:4">
      <c r="A490" t="s">
        <v>821</v>
      </c>
      <c r="B490" s="14">
        <f>IF('User Interface'!$B$8=Options!$E$4,0,$BT$242*SUM($B$750:$B$751))</f>
        <v>45224.855403193957</v>
      </c>
      <c r="C490" s="41" t="s">
        <v>3</v>
      </c>
    </row>
    <row r="491" spans="1:4">
      <c r="A491" t="s">
        <v>16</v>
      </c>
      <c r="B491" s="14">
        <f>IF('User Interface'!$B$8=Options!$E$4,0,$BU$242*SUM($B$750:$B$751))</f>
        <v>243083.59779216751</v>
      </c>
      <c r="C491" s="41" t="s">
        <v>3</v>
      </c>
    </row>
    <row r="492" spans="1:4">
      <c r="A492" t="s">
        <v>18</v>
      </c>
      <c r="B492" s="14">
        <f>IF('User Interface'!$B$8=Options!$E$4,0,$BV$242*SUM($B$750:$B$751))</f>
        <v>90449.710806387913</v>
      </c>
      <c r="C492" s="41" t="s">
        <v>3</v>
      </c>
    </row>
    <row r="493" spans="1:4">
      <c r="A493" t="s">
        <v>529</v>
      </c>
      <c r="B493" s="4">
        <f>IF('User Interface'!$B$8=Options!$E$4,0,IF('User Interface'!$B$12=Options!$G$4,B467,C467))/1000</f>
        <v>7.247507506962652</v>
      </c>
      <c r="C493" s="41" t="s">
        <v>2</v>
      </c>
    </row>
    <row r="494" spans="1:4">
      <c r="A494" t="s">
        <v>759</v>
      </c>
      <c r="B494" s="1">
        <f>IF('User Interface'!$B$8=Options!$E$4,0,IF('User Interface'!$B$12=Options!$G$4,B466,C466))</f>
        <v>34.730638999999996</v>
      </c>
      <c r="C494" s="41" t="s">
        <v>760</v>
      </c>
    </row>
    <row r="495" spans="1:4">
      <c r="A495" t="s">
        <v>761</v>
      </c>
      <c r="B495" s="3">
        <f>B486*B494</f>
        <v>2778.4511199999997</v>
      </c>
      <c r="C495" s="41" t="s">
        <v>762</v>
      </c>
    </row>
    <row r="496" spans="1:4">
      <c r="B496" s="4"/>
      <c r="C496" s="41"/>
    </row>
    <row r="497" spans="1:4" s="30" customFormat="1">
      <c r="A497" s="30" t="s">
        <v>732</v>
      </c>
      <c r="B497" s="40"/>
      <c r="C497" s="40"/>
    </row>
    <row r="498" spans="1:4" s="19" customFormat="1">
      <c r="B498" s="41" t="s">
        <v>452</v>
      </c>
      <c r="C498" s="41" t="s">
        <v>453</v>
      </c>
    </row>
    <row r="499" spans="1:4">
      <c r="A499" t="s">
        <v>686</v>
      </c>
      <c r="B499" s="3">
        <v>1000000</v>
      </c>
      <c r="C499" s="3">
        <v>1000000</v>
      </c>
      <c r="D499" s="41" t="s">
        <v>8</v>
      </c>
    </row>
    <row r="500" spans="1:4">
      <c r="B500" s="4">
        <f>IF('User Interface'!$B$8=Options!$E$4,0,B499/(B749*(B20*2)))</f>
        <v>4.5451784915929849</v>
      </c>
      <c r="C500" s="4">
        <f>IF('User Interface'!$B$8=Options!$E$4,0,C499/(B749*(B20*2)))</f>
        <v>4.5451784915929849</v>
      </c>
      <c r="D500" s="41" t="s">
        <v>9</v>
      </c>
    </row>
    <row r="501" spans="1:4">
      <c r="A501" t="s">
        <v>733</v>
      </c>
      <c r="B501" s="3">
        <f>IF('User Interface'!$B$8=Options!$E$4,0,IF('User Interface'!$B$9=Options!$F$4,$B$670,$B$625))</f>
        <v>12</v>
      </c>
      <c r="C501" s="3">
        <f>IF('User Interface'!$B$8=Options!$E$4,0,IF('User Interface'!$B$9=Options!$F$4,$B$670,$B$625))</f>
        <v>12</v>
      </c>
      <c r="D501" t="s">
        <v>38</v>
      </c>
    </row>
    <row r="502" spans="1:4">
      <c r="A502" t="s">
        <v>734</v>
      </c>
      <c r="B502">
        <f>IF('User Interface'!$B$8=Options!$E$4,0,ROUNDUP((B501*B9)/B500,0))</f>
        <v>80</v>
      </c>
      <c r="C502">
        <f>IF('User Interface'!$B$8=Options!$E$4,0,ROUNDUP((C501*B9)/C500,0))</f>
        <v>80</v>
      </c>
      <c r="D502" s="41" t="s">
        <v>38</v>
      </c>
    </row>
    <row r="503" spans="1:4">
      <c r="A503" t="s">
        <v>735</v>
      </c>
      <c r="B503" s="14">
        <v>50000</v>
      </c>
      <c r="C503" s="14">
        <f>B503</f>
        <v>50000</v>
      </c>
      <c r="D503" s="41" t="s">
        <v>952</v>
      </c>
    </row>
    <row r="504" spans="1:4">
      <c r="B504" s="14">
        <f>B503*$B$153*(1+$D$242)</f>
        <v>55050.695803124981</v>
      </c>
      <c r="C504" s="14">
        <f>C503*$B$153*(1+$D$242)</f>
        <v>55050.695803124981</v>
      </c>
      <c r="D504" s="41" t="str">
        <f>$B$128&amp;" USD"</f>
        <v>2024 USD</v>
      </c>
    </row>
    <row r="505" spans="1:4">
      <c r="A505" t="s">
        <v>736</v>
      </c>
      <c r="B505" s="14">
        <f>B504*B502</f>
        <v>4404055.6642499985</v>
      </c>
      <c r="C505" s="14">
        <f>C504*C502</f>
        <v>4404055.6642499985</v>
      </c>
      <c r="D505" s="41" t="str">
        <f>$B$128&amp;" USD"</f>
        <v>2024 USD</v>
      </c>
    </row>
    <row r="506" spans="1:4">
      <c r="A506" t="s">
        <v>759</v>
      </c>
      <c r="B506" s="4">
        <f>35190613/1000000</f>
        <v>35.190612999999999</v>
      </c>
      <c r="C506" s="4">
        <f>36472233/1000000</f>
        <v>36.472233000000003</v>
      </c>
      <c r="D506" s="41" t="s">
        <v>760</v>
      </c>
    </row>
    <row r="507" spans="1:4">
      <c r="A507" t="s">
        <v>761</v>
      </c>
      <c r="B507" s="3">
        <f>B502*B506</f>
        <v>2815.2490399999997</v>
      </c>
      <c r="C507" s="3">
        <f>C502*C506</f>
        <v>2917.7786400000005</v>
      </c>
      <c r="D507" s="41" t="s">
        <v>762</v>
      </c>
    </row>
    <row r="508" spans="1:4">
      <c r="A508" t="s">
        <v>763</v>
      </c>
      <c r="B508" s="3">
        <f>10575/$A$48</f>
        <v>4796.7450172818899</v>
      </c>
      <c r="C508" s="3">
        <f>11264/$A$48</f>
        <v>5109.2705318830458</v>
      </c>
      <c r="D508" s="41" t="s">
        <v>44</v>
      </c>
    </row>
    <row r="509" spans="1:4">
      <c r="B509" s="3"/>
      <c r="C509" s="3"/>
      <c r="D509" s="41"/>
    </row>
    <row r="510" spans="1:4">
      <c r="A510" t="s">
        <v>377</v>
      </c>
      <c r="B510" s="3"/>
      <c r="C510" s="3"/>
      <c r="D510" s="41"/>
    </row>
    <row r="511" spans="1:4">
      <c r="A511" t="s">
        <v>524</v>
      </c>
      <c r="B511" s="14">
        <f>IF('User Interface'!$B$8=Options!$E$4,0,IF('User Interface'!$B$9=Options!$F$5,0,IF('User Interface'!$B$12=Options!$G$4,B504,C504)))</f>
        <v>0</v>
      </c>
      <c r="C511" s="41" t="str">
        <f>$B$128&amp;" USD"</f>
        <v>2024 USD</v>
      </c>
      <c r="D511" s="41"/>
    </row>
    <row r="512" spans="1:4">
      <c r="A512" t="s">
        <v>953</v>
      </c>
      <c r="B512" s="3">
        <f>IF('User Interface'!$B$8=Options!$E$4,0,IF('User Interface'!$B$9=Options!$F$5,0,IF('User Interface'!$B$12=Options!$G$4,B501,C501)))</f>
        <v>0</v>
      </c>
      <c r="C512" s="3" t="s">
        <v>38</v>
      </c>
      <c r="D512" s="41"/>
    </row>
    <row r="513" spans="1:7">
      <c r="A513" t="s">
        <v>954</v>
      </c>
      <c r="B513" s="3">
        <f>IF('User Interface'!$B$8=Options!$E$4,0,IF('User Interface'!$B$9=Options!$F$5,0,IF('User Interface'!$B$12=Options!$G$4,B502,C502)))</f>
        <v>0</v>
      </c>
      <c r="C513" s="3" t="s">
        <v>38</v>
      </c>
      <c r="D513" s="41"/>
    </row>
    <row r="514" spans="1:7">
      <c r="A514" t="s">
        <v>859</v>
      </c>
      <c r="B514" s="14">
        <f>IF('User Interface'!$B$8=Options!$E$4,0,IF('User Interface'!$B$9=Options!$F$5,0,IF('User Interface'!$B$12=Options!$G$4,B505,C505)))</f>
        <v>0</v>
      </c>
      <c r="C514" s="41" t="str">
        <f>$B$128&amp;" USD"</f>
        <v>2024 USD</v>
      </c>
      <c r="D514" s="41"/>
    </row>
    <row r="515" spans="1:7">
      <c r="A515" t="s">
        <v>955</v>
      </c>
      <c r="B515" s="3">
        <f>IF('User Interface'!$B$8=Options!$E$4,0,IF('User Interface'!$B$9=Options!$F$5,0,IF('User Interface'!$B$12=Options!$G$4,B506,C506)))</f>
        <v>0</v>
      </c>
      <c r="C515" s="3" t="s">
        <v>760</v>
      </c>
      <c r="D515" s="41"/>
    </row>
    <row r="516" spans="1:7">
      <c r="A516" t="s">
        <v>956</v>
      </c>
      <c r="B516" s="3">
        <f>IF('User Interface'!$B$8=Options!$E$4,0,IF('User Interface'!$B$9=Options!$F$5,0,IF('User Interface'!$B$12=Options!$G$4,B507,C507)))</f>
        <v>0</v>
      </c>
      <c r="C516" s="3" t="s">
        <v>762</v>
      </c>
      <c r="D516" s="41"/>
    </row>
    <row r="517" spans="1:7">
      <c r="A517" t="s">
        <v>763</v>
      </c>
      <c r="B517" s="3">
        <f>IF('User Interface'!$B$8=Options!$E$4,0,IF('User Interface'!$B$9=Options!$F$5,0,IF('User Interface'!$B$12=Options!$G$4,B508,C508)))/1000</f>
        <v>0</v>
      </c>
      <c r="C517" s="3" t="s">
        <v>2</v>
      </c>
      <c r="D517" s="41"/>
    </row>
    <row r="518" spans="1:7">
      <c r="B518" s="16"/>
      <c r="C518" s="16"/>
    </row>
    <row r="519" spans="1:7" s="30" customFormat="1">
      <c r="A519" s="30" t="s">
        <v>470</v>
      </c>
    </row>
    <row r="520" spans="1:7" s="19" customFormat="1">
      <c r="A520" s="19" t="s">
        <v>904</v>
      </c>
      <c r="B520" s="202">
        <v>20.45</v>
      </c>
      <c r="C520" s="19" t="s">
        <v>28</v>
      </c>
    </row>
    <row r="521" spans="1:7" s="19" customFormat="1">
      <c r="A521" s="19" t="s">
        <v>905</v>
      </c>
      <c r="B521" s="202">
        <v>25</v>
      </c>
      <c r="C521" s="19" t="s">
        <v>28</v>
      </c>
    </row>
    <row r="522" spans="1:7" s="19" customFormat="1">
      <c r="A522" s="19" t="s">
        <v>906</v>
      </c>
      <c r="B522" s="202">
        <f>((21964*A47)/1000)</f>
        <v>83.142784335919998</v>
      </c>
      <c r="C522" s="19" t="s">
        <v>28</v>
      </c>
      <c r="D522" s="78"/>
    </row>
    <row r="523" spans="1:7">
      <c r="B523" t="s">
        <v>949</v>
      </c>
      <c r="C523" t="s">
        <v>950</v>
      </c>
      <c r="D523" t="s">
        <v>479</v>
      </c>
      <c r="E523" t="s">
        <v>512</v>
      </c>
      <c r="F523" t="s">
        <v>471</v>
      </c>
      <c r="G523" t="s">
        <v>478</v>
      </c>
    </row>
    <row r="524" spans="1:7">
      <c r="A524" t="s">
        <v>903</v>
      </c>
      <c r="B524">
        <v>1</v>
      </c>
      <c r="C524">
        <v>1</v>
      </c>
      <c r="D524">
        <v>1</v>
      </c>
      <c r="E524">
        <v>1</v>
      </c>
      <c r="F524">
        <v>1</v>
      </c>
      <c r="G524">
        <v>4</v>
      </c>
    </row>
    <row r="525" spans="1:7">
      <c r="A525" t="s">
        <v>472</v>
      </c>
      <c r="B525" s="3">
        <f>B521*B524</f>
        <v>25</v>
      </c>
      <c r="C525" s="3">
        <f>B521*C524</f>
        <v>25</v>
      </c>
      <c r="D525" s="3">
        <f>B520*D524</f>
        <v>20.45</v>
      </c>
      <c r="E525" s="3">
        <f>B520*E524</f>
        <v>20.45</v>
      </c>
      <c r="F525" s="4">
        <f>B522*F524</f>
        <v>83.142784335919998</v>
      </c>
      <c r="G525" s="1">
        <f>B520*G524</f>
        <v>81.8</v>
      </c>
    </row>
    <row r="526" spans="1:7">
      <c r="A526" t="s">
        <v>473</v>
      </c>
      <c r="B526">
        <f t="shared" ref="B526:G526" si="42">B525*$B$104</f>
        <v>23.75</v>
      </c>
      <c r="C526" s="5">
        <f t="shared" si="42"/>
        <v>23.75</v>
      </c>
      <c r="D526" s="5">
        <f t="shared" si="42"/>
        <v>19.427499999999998</v>
      </c>
      <c r="E526" s="5">
        <f t="shared" si="42"/>
        <v>19.427499999999998</v>
      </c>
      <c r="F526" s="5">
        <f t="shared" si="42"/>
        <v>78.985645119124001</v>
      </c>
      <c r="G526" s="5">
        <f t="shared" si="42"/>
        <v>77.709999999999994</v>
      </c>
    </row>
    <row r="527" spans="1:7">
      <c r="A527" t="s">
        <v>474</v>
      </c>
      <c r="B527" s="4">
        <f>B526*($B$122/1000)</f>
        <v>24.747500000000002</v>
      </c>
      <c r="C527" s="4">
        <f>C526*($B$122/1000)</f>
        <v>24.747500000000002</v>
      </c>
      <c r="D527" s="4">
        <f>D526*($B$122/1000)</f>
        <v>20.243455000000001</v>
      </c>
      <c r="E527" s="4">
        <f t="shared" ref="E527:F527" si="43">E526*($B$122/1000)</f>
        <v>20.243455000000001</v>
      </c>
      <c r="F527" s="4">
        <f t="shared" si="43"/>
        <v>82.303042214127217</v>
      </c>
      <c r="G527" s="4">
        <f>G526*($B$122/1000)</f>
        <v>80.973820000000003</v>
      </c>
    </row>
    <row r="528" spans="1:7">
      <c r="A528" t="s">
        <v>476</v>
      </c>
      <c r="B528" s="4">
        <v>10.372999999999999</v>
      </c>
      <c r="C528" s="4">
        <v>10.372999999999999</v>
      </c>
      <c r="D528" s="4">
        <v>8.6999999999999993</v>
      </c>
      <c r="E528" s="4">
        <v>8.6999999999999993</v>
      </c>
      <c r="F528" s="4">
        <f>(102000/$A$48)/1000</f>
        <v>46.266476762435254</v>
      </c>
      <c r="G528">
        <f>8.7*G524</f>
        <v>34.799999999999997</v>
      </c>
    </row>
    <row r="529" spans="1:7">
      <c r="A529" t="s">
        <v>511</v>
      </c>
      <c r="B529" s="4">
        <v>0</v>
      </c>
      <c r="C529" s="4">
        <v>0</v>
      </c>
      <c r="D529" s="4">
        <f>B508/1000</f>
        <v>4.7967450172818902</v>
      </c>
      <c r="E529" s="4">
        <f>C508/1000</f>
        <v>5.1092705318830456</v>
      </c>
      <c r="F529" t="s">
        <v>37</v>
      </c>
      <c r="G529" t="s">
        <v>37</v>
      </c>
    </row>
    <row r="530" spans="1:7">
      <c r="A530" t="s">
        <v>475</v>
      </c>
      <c r="B530" s="4">
        <f>B467/1000</f>
        <v>7.247507506962652</v>
      </c>
      <c r="C530" s="4">
        <f>C467/1000</f>
        <v>7.934700764757646</v>
      </c>
      <c r="D530" s="4">
        <f>B467/1000</f>
        <v>7.247507506962652</v>
      </c>
      <c r="E530" s="4">
        <f>C467/1000</f>
        <v>7.934700764757646</v>
      </c>
      <c r="F530" t="s">
        <v>37</v>
      </c>
      <c r="G530" t="s">
        <v>37</v>
      </c>
    </row>
    <row r="531" spans="1:7">
      <c r="A531" t="s">
        <v>765</v>
      </c>
      <c r="B531" s="4">
        <f>$C$472</f>
        <v>0.47696188427999997</v>
      </c>
      <c r="C531" s="4">
        <f t="shared" ref="C531:E531" si="44">$C$472</f>
        <v>0.47696188427999997</v>
      </c>
      <c r="D531" s="4">
        <f t="shared" si="44"/>
        <v>0.47696188427999997</v>
      </c>
      <c r="E531" s="4">
        <f t="shared" si="44"/>
        <v>0.47696188427999997</v>
      </c>
      <c r="F531" t="s">
        <v>37</v>
      </c>
      <c r="G531" t="s">
        <v>37</v>
      </c>
    </row>
    <row r="532" spans="1:7">
      <c r="A532" t="s">
        <v>477</v>
      </c>
      <c r="B532" s="4">
        <f>($B$105/$A$48)/1000</f>
        <v>40.823361849207579</v>
      </c>
      <c r="C532" s="4">
        <f>($B$105/$A$48)/1000</f>
        <v>40.823361849207579</v>
      </c>
      <c r="D532" s="4">
        <f>($B$105/$A$48)/1000</f>
        <v>40.823361849207579</v>
      </c>
      <c r="E532" s="4">
        <f>($B$105/$A$48)/1000</f>
        <v>40.823361849207579</v>
      </c>
      <c r="F532" t="s">
        <v>37</v>
      </c>
      <c r="G532" t="s">
        <v>37</v>
      </c>
    </row>
    <row r="533" spans="1:7">
      <c r="A533" t="s">
        <v>480</v>
      </c>
      <c r="B533" s="4">
        <f>B532-SUM(B528:B531)</f>
        <v>22.725892457964925</v>
      </c>
      <c r="C533" s="4">
        <f>C532-SUM(C528:C531)</f>
        <v>22.038699200169933</v>
      </c>
      <c r="D533" s="4">
        <f t="shared" ref="D533" si="45">D532-SUM(D528:D531)</f>
        <v>19.602147440683037</v>
      </c>
      <c r="E533" s="4">
        <f>E532-SUM(E528:E531)</f>
        <v>18.602428668286887</v>
      </c>
      <c r="F533" t="s">
        <v>37</v>
      </c>
      <c r="G533" t="s">
        <v>37</v>
      </c>
    </row>
    <row r="534" spans="1:7">
      <c r="A534" t="s">
        <v>481</v>
      </c>
      <c r="B534" s="4" t="s">
        <v>37</v>
      </c>
      <c r="C534" s="4" t="s">
        <v>37</v>
      </c>
      <c r="D534" s="4" t="s">
        <v>37</v>
      </c>
      <c r="E534" s="4" t="s">
        <v>37</v>
      </c>
      <c r="F534" s="3">
        <f>(286000/$A$48)/1000</f>
        <v>129.72757209859296</v>
      </c>
      <c r="G534" s="3">
        <f>(286000/$A$48)/1000</f>
        <v>129.72757209859296</v>
      </c>
    </row>
    <row r="535" spans="1:7">
      <c r="A535" t="s">
        <v>482</v>
      </c>
      <c r="B535" s="4" t="s">
        <v>37</v>
      </c>
      <c r="C535" s="4" t="s">
        <v>37</v>
      </c>
      <c r="D535" s="4" t="s">
        <v>37</v>
      </c>
      <c r="E535" s="4" t="s">
        <v>37</v>
      </c>
      <c r="F535" s="4">
        <f>F534-F528</f>
        <v>83.461095336157712</v>
      </c>
      <c r="G535" s="4">
        <f>G534-G528</f>
        <v>94.927572098592961</v>
      </c>
    </row>
    <row r="536" spans="1:7">
      <c r="A536" t="s">
        <v>483</v>
      </c>
      <c r="B536" s="1">
        <f>MIN(B527,B533)</f>
        <v>22.725892457964925</v>
      </c>
      <c r="C536" s="1">
        <f>MIN(C527,C533)</f>
        <v>22.038699200169933</v>
      </c>
      <c r="D536" s="1">
        <f>MIN(D527,D533)</f>
        <v>19.602147440683037</v>
      </c>
      <c r="E536" s="1">
        <f t="shared" ref="E536" si="46">MIN(E527,E533)</f>
        <v>18.602428668286887</v>
      </c>
      <c r="F536" s="1">
        <f>MIN(F527,F535)</f>
        <v>82.303042214127217</v>
      </c>
      <c r="G536" s="1">
        <f>MIN(G527,G535)</f>
        <v>80.973820000000003</v>
      </c>
    </row>
    <row r="537" spans="1:7">
      <c r="A537" t="s">
        <v>522</v>
      </c>
      <c r="B537" s="14">
        <f>$B$552</f>
        <v>331671.02493937494</v>
      </c>
      <c r="C537" s="14">
        <f>$B$552</f>
        <v>331671.02493937494</v>
      </c>
      <c r="D537" s="14">
        <f>$B$556</f>
        <v>131497.291875</v>
      </c>
      <c r="E537" s="14">
        <f>$B$556</f>
        <v>131497.291875</v>
      </c>
      <c r="F537" s="14">
        <f>$B$560</f>
        <v>239346.66267803664</v>
      </c>
      <c r="G537" s="14">
        <f>$B$556*G524</f>
        <v>525989.16749999998</v>
      </c>
    </row>
    <row r="538" spans="1:7">
      <c r="A538" t="s">
        <v>622</v>
      </c>
      <c r="B538" s="14">
        <f>12000+(528*B525)</f>
        <v>25200</v>
      </c>
      <c r="C538" s="14">
        <f t="shared" ref="C538:F538" si="47">12000+(528*C525)</f>
        <v>25200</v>
      </c>
      <c r="D538" s="14">
        <f>12000+(528*D525)</f>
        <v>22797.599999999999</v>
      </c>
      <c r="E538" s="14">
        <f t="shared" si="47"/>
        <v>22797.599999999999</v>
      </c>
      <c r="F538" s="14">
        <f t="shared" si="47"/>
        <v>55899.390129365762</v>
      </c>
      <c r="G538" s="14">
        <f>12000+(528*G525)</f>
        <v>55190.400000000001</v>
      </c>
    </row>
    <row r="539" spans="1:7">
      <c r="A539" t="s">
        <v>623</v>
      </c>
      <c r="B539" s="14">
        <f>0.9*B537</f>
        <v>298503.92244543746</v>
      </c>
      <c r="C539" s="14">
        <f t="shared" ref="C539:G539" si="48">0.9*C537</f>
        <v>298503.92244543746</v>
      </c>
      <c r="D539" s="14">
        <f t="shared" si="48"/>
        <v>118347.5626875</v>
      </c>
      <c r="E539" s="14">
        <f t="shared" si="48"/>
        <v>118347.5626875</v>
      </c>
      <c r="F539" s="14">
        <f t="shared" si="48"/>
        <v>215411.99641023297</v>
      </c>
      <c r="G539" s="14">
        <f t="shared" si="48"/>
        <v>473390.25075000001</v>
      </c>
    </row>
    <row r="540" spans="1:7">
      <c r="A540" t="s">
        <v>624</v>
      </c>
      <c r="B540" s="14">
        <f>B539-B538</f>
        <v>273303.92244543746</v>
      </c>
      <c r="C540" s="14">
        <f t="shared" ref="C540:G540" si="49">C539-C538</f>
        <v>273303.92244543746</v>
      </c>
      <c r="D540" s="14">
        <f t="shared" si="49"/>
        <v>95549.962687499996</v>
      </c>
      <c r="E540" s="14">
        <f t="shared" si="49"/>
        <v>95549.962687499996</v>
      </c>
      <c r="F540" s="14">
        <f t="shared" si="49"/>
        <v>159512.60628086721</v>
      </c>
      <c r="G540" s="14">
        <f t="shared" si="49"/>
        <v>418199.85074999998</v>
      </c>
    </row>
    <row r="541" spans="1:7">
      <c r="A541" t="s">
        <v>778</v>
      </c>
      <c r="B541" s="3">
        <f>B506+((B528-(B508/1000))*$B$83)</f>
        <v>48.858908672642535</v>
      </c>
      <c r="C541" s="3">
        <f>C506+((C528-(C508/1000))*$B$83)</f>
        <v>49.374478491642542</v>
      </c>
      <c r="D541" s="3">
        <f t="shared" ref="D541:F541" si="50">D528*$B$83</f>
        <v>21.325095914825997</v>
      </c>
      <c r="E541" s="3">
        <f t="shared" si="50"/>
        <v>21.325095914825997</v>
      </c>
      <c r="F541" s="3">
        <f t="shared" si="50"/>
        <v>113.40655799999999</v>
      </c>
      <c r="G541" s="3">
        <f>G528*$B$83</f>
        <v>85.300383659303989</v>
      </c>
    </row>
    <row r="542" spans="1:7">
      <c r="A542" t="s">
        <v>562</v>
      </c>
      <c r="B542" s="1">
        <v>6.62</v>
      </c>
      <c r="C542" s="1">
        <v>6.62</v>
      </c>
      <c r="D542" s="1">
        <v>6.0579999999999998</v>
      </c>
      <c r="E542" s="1">
        <v>6.0579999999999998</v>
      </c>
      <c r="F542" s="3">
        <f>(48+((10+(7/8))/12))*$A$52</f>
        <v>14.906625</v>
      </c>
      <c r="G542" s="1">
        <v>6.0579999999999998</v>
      </c>
    </row>
    <row r="543" spans="1:7">
      <c r="A543" t="s">
        <v>576</v>
      </c>
      <c r="B543" s="1">
        <f>2.49/2</f>
        <v>1.2450000000000001</v>
      </c>
      <c r="C543" s="1">
        <f>2.49/2</f>
        <v>1.2450000000000001</v>
      </c>
      <c r="D543" s="1">
        <f>2.438/2</f>
        <v>1.2190000000000001</v>
      </c>
      <c r="E543" s="1">
        <f>2.438/2</f>
        <v>1.2190000000000001</v>
      </c>
      <c r="F543" s="1">
        <f>((102/2)/12)*$A$52</f>
        <v>1.2954000000000001</v>
      </c>
      <c r="G543" s="1">
        <f>2.438/2</f>
        <v>1.2190000000000001</v>
      </c>
    </row>
    <row r="544" spans="1:7">
      <c r="A544" t="s">
        <v>567</v>
      </c>
      <c r="B544" s="1">
        <f>(PI()*(B543^2)*B542)+(4*PI()*(B543^2))</f>
        <v>51.714590763591119</v>
      </c>
      <c r="C544" s="1">
        <f>(PI()*(C543^2)*C542)+(4*PI()*(C543^2))</f>
        <v>51.714590763591119</v>
      </c>
      <c r="D544" s="1">
        <f>(PI()*(D543^2)*D542)+(2*PI()*(D543^2))</f>
        <v>37.61703377031256</v>
      </c>
      <c r="E544" s="1">
        <f>(PI()*(E543^2)*E542)+(2*PI()*(E543^2))</f>
        <v>37.61703377031256</v>
      </c>
      <c r="F544" s="1">
        <f t="shared" ref="F544:G544" si="51">(PI()*(F543^2)*F542)+(2*PI()*(F543^2))</f>
        <v>89.12808552482123</v>
      </c>
      <c r="G544" s="1">
        <f t="shared" si="51"/>
        <v>37.61703377031256</v>
      </c>
    </row>
    <row r="545" spans="1:7">
      <c r="A545" t="s">
        <v>599</v>
      </c>
      <c r="B545">
        <f t="shared" ref="B545:G545" si="52">3.175/1000</f>
        <v>3.1749999999999999E-3</v>
      </c>
      <c r="C545">
        <f t="shared" si="52"/>
        <v>3.1749999999999999E-3</v>
      </c>
      <c r="D545">
        <f t="shared" si="52"/>
        <v>3.1749999999999999E-3</v>
      </c>
      <c r="E545">
        <f t="shared" si="52"/>
        <v>3.1749999999999999E-3</v>
      </c>
      <c r="F545">
        <f t="shared" si="52"/>
        <v>3.1749999999999999E-3</v>
      </c>
      <c r="G545">
        <f t="shared" si="52"/>
        <v>3.1749999999999999E-3</v>
      </c>
    </row>
    <row r="546" spans="1:7">
      <c r="A546" t="s">
        <v>577</v>
      </c>
      <c r="B546" s="1">
        <f>$B$91</f>
        <v>3.0795318178038086E-2</v>
      </c>
      <c r="C546" s="1">
        <f>$B$91</f>
        <v>3.0795318178038086E-2</v>
      </c>
      <c r="D546" s="1">
        <f>$B$90</f>
        <v>5.0627253360074178E-3</v>
      </c>
      <c r="E546" s="1">
        <f>$B$90</f>
        <v>5.0627253360074178E-3</v>
      </c>
      <c r="F546" s="1">
        <f>$B$91</f>
        <v>3.0795318178038086E-2</v>
      </c>
      <c r="G546" s="1">
        <f>$B$90</f>
        <v>5.0627253360074178E-3</v>
      </c>
    </row>
    <row r="547" spans="1:7">
      <c r="A547" t="s">
        <v>578</v>
      </c>
      <c r="B547" s="1">
        <f t="shared" ref="B547:E547" si="53">(5/12)*$A$52</f>
        <v>0.127</v>
      </c>
      <c r="C547" s="1">
        <f t="shared" si="53"/>
        <v>0.127</v>
      </c>
      <c r="D547" s="1">
        <f t="shared" si="53"/>
        <v>0.127</v>
      </c>
      <c r="E547" s="1">
        <f t="shared" si="53"/>
        <v>0.127</v>
      </c>
      <c r="F547" s="1">
        <f>(5/12)*$A$52</f>
        <v>0.127</v>
      </c>
      <c r="G547" s="1">
        <f>(5/12)*$A$52</f>
        <v>0.127</v>
      </c>
    </row>
    <row r="548" spans="1:7">
      <c r="A548" t="s">
        <v>598</v>
      </c>
      <c r="B548" s="1">
        <f t="shared" ref="B548:E548" si="54">(0.787/12)*$A$52</f>
        <v>1.9989800000000002E-2</v>
      </c>
      <c r="C548" s="1">
        <f t="shared" si="54"/>
        <v>1.9989800000000002E-2</v>
      </c>
      <c r="D548" s="1">
        <f t="shared" si="54"/>
        <v>1.9989800000000002E-2</v>
      </c>
      <c r="E548" s="1">
        <f t="shared" si="54"/>
        <v>1.9989800000000002E-2</v>
      </c>
      <c r="F548" s="1">
        <f>(0.787/12)*$A$52</f>
        <v>1.9989800000000002E-2</v>
      </c>
      <c r="G548" s="1">
        <f>(0.787/12)*$A$52</f>
        <v>1.9989800000000002E-2</v>
      </c>
    </row>
    <row r="549" spans="1:7">
      <c r="B549" s="6"/>
      <c r="C549" s="6"/>
      <c r="D549" s="6"/>
      <c r="E549" s="6"/>
    </row>
    <row r="550" spans="1:7">
      <c r="A550" t="s">
        <v>526</v>
      </c>
      <c r="B550" s="14" t="s">
        <v>64</v>
      </c>
    </row>
    <row r="551" spans="1:7">
      <c r="A551" t="s">
        <v>951</v>
      </c>
      <c r="B551" s="14">
        <v>308170</v>
      </c>
    </row>
    <row r="552" spans="1:7">
      <c r="A552" t="str">
        <f>Calculations!$B$128&amp;" cost"</f>
        <v>2024 cost</v>
      </c>
      <c r="B552" s="14">
        <f>B551*$B$154*(1+$D$242)</f>
        <v>331671.02493937494</v>
      </c>
    </row>
    <row r="554" spans="1:7">
      <c r="A554" t="s">
        <v>525</v>
      </c>
      <c r="B554" t="s">
        <v>64</v>
      </c>
    </row>
    <row r="555" spans="1:7">
      <c r="A555" t="s">
        <v>730</v>
      </c>
      <c r="B555" s="14">
        <v>124990</v>
      </c>
    </row>
    <row r="556" spans="1:7">
      <c r="A556" t="str">
        <f>Calculations!$B$128&amp;" cost"</f>
        <v>2024 cost</v>
      </c>
      <c r="B556" s="14">
        <f>B555*$B$155*(1+$D$242)</f>
        <v>131497.291875</v>
      </c>
    </row>
    <row r="557" spans="1:7">
      <c r="B557" s="14"/>
    </row>
    <row r="558" spans="1:7">
      <c r="A558" t="s">
        <v>907</v>
      </c>
      <c r="B558" s="14" t="s">
        <v>64</v>
      </c>
    </row>
    <row r="559" spans="1:7">
      <c r="A559" t="s">
        <v>908</v>
      </c>
      <c r="B559" s="14">
        <v>212500</v>
      </c>
    </row>
    <row r="560" spans="1:7">
      <c r="A560" t="str">
        <f>Calculations!$B$128&amp;" cost"</f>
        <v>2024 cost</v>
      </c>
      <c r="B560" s="14">
        <f>B559*$B$152*(1+$D$242)</f>
        <v>239346.66267803664</v>
      </c>
    </row>
    <row r="562" spans="1:3">
      <c r="A562" s="81" t="s">
        <v>377</v>
      </c>
    </row>
    <row r="563" spans="1:3">
      <c r="A563" t="s">
        <v>518</v>
      </c>
      <c r="B563" s="4">
        <f>IF('User Interface'!$B$8=Options!$E$4,IF('User Interface'!$B$9=Options!$F$5,F536,G536),IF('User Interface'!$B$9=Options!$F$4,IF('User Interface'!$B$12=Options!$G$4,D536,E536),IF('User Interface'!$B$12=Options!$G$4,B536,C536)))</f>
        <v>22.725892457964925</v>
      </c>
      <c r="C563" t="s">
        <v>2</v>
      </c>
    </row>
    <row r="564" spans="1:3">
      <c r="A564" t="s">
        <v>516</v>
      </c>
      <c r="B564" s="4">
        <f>IF('User Interface'!$B$8=Options!$E$4,IF('User Interface'!$B$9=Options!$F$5,F536/F524,G536/G524),IF('User Interface'!$B$9=Options!$F$4,IF('User Interface'!$B$12=Options!$G$4,D536/D524,E536/E524),IF('User Interface'!$B$12=Options!$G$4,B536/B524,C536/C524)))</f>
        <v>22.725892457964925</v>
      </c>
      <c r="C564" t="s">
        <v>2</v>
      </c>
    </row>
    <row r="565" spans="1:3">
      <c r="A565" t="s">
        <v>517</v>
      </c>
      <c r="B565" s="4">
        <f>IF('User Interface'!$B$8=Options!$E$4,Calculations!$B$106,Calculations!$B$105)/(Calculations!$A$48*1000)</f>
        <v>40.823361849207572</v>
      </c>
      <c r="C565" t="s">
        <v>2</v>
      </c>
    </row>
    <row r="566" spans="1:3">
      <c r="A566" t="s">
        <v>524</v>
      </c>
      <c r="B566" s="14">
        <f>IF('User Interface'!$B$8=Options!$E$4,IF('User Interface'!$B$9=Options!$F$5,F537,G537),IF('User Interface'!$B$9=Options!$F$4,IF('User Interface'!$B$12=Options!$G$4,D537,E537),IF('User Interface'!$B$12=Options!$G$4,B537,C537)))</f>
        <v>331671.02493937494</v>
      </c>
    </row>
    <row r="567" spans="1:3">
      <c r="A567" t="s">
        <v>775</v>
      </c>
      <c r="B567" s="14">
        <f>IF('User Interface'!$B$8=Options!$E$4,IF('User Interface'!$B$9=Options!$F$5,F540,G540),IF('User Interface'!$B$9=Options!$F$4,IF('User Interface'!$B$12=Options!$G$4,D540,E540),IF('User Interface'!$B$12=Options!$G$4,B540,C540)))</f>
        <v>273303.92244543746</v>
      </c>
    </row>
    <row r="568" spans="1:3">
      <c r="A568" t="s">
        <v>776</v>
      </c>
      <c r="B568" s="3">
        <f>B746</f>
        <v>12</v>
      </c>
    </row>
    <row r="569" spans="1:3">
      <c r="A569" t="s">
        <v>686</v>
      </c>
      <c r="B569" s="3">
        <f>$B$9</f>
        <v>30</v>
      </c>
      <c r="C569" t="s">
        <v>9</v>
      </c>
    </row>
    <row r="570" spans="1:3">
      <c r="A570" t="s">
        <v>780</v>
      </c>
      <c r="B570" s="4">
        <f>IF('User Interface'!$B$8=Options!$E$4,IF('User Interface'!$B$9=Options!$F$5,F541,G541),IF('User Interface'!$B$9=Options!$F$4,IF('User Interface'!$B$12=Options!$G$4,D541,E541),IF('User Interface'!$B$12=Options!$G$4,B541,C541)))</f>
        <v>48.858908672642535</v>
      </c>
      <c r="C570" t="s">
        <v>777</v>
      </c>
    </row>
    <row r="571" spans="1:3">
      <c r="A571" t="s">
        <v>779</v>
      </c>
      <c r="B571" s="3">
        <f>B568*B570</f>
        <v>586.30690407171039</v>
      </c>
      <c r="C571" t="s">
        <v>781</v>
      </c>
    </row>
    <row r="572" spans="1:3">
      <c r="A572" t="s">
        <v>561</v>
      </c>
      <c r="B572" s="1">
        <f>IF('User Interface'!$B$8=Options!$E$4,IF('User Interface'!$B$9=Options!$F$5,Calculations!$F$542,Calculations!$G$542),IF('User Interface'!$B$9=Options!$F$4,IF('User Interface'!$B$12=Options!$G$4,D542,E542),IF('User Interface'!$B$12=Options!$G$4,B542,C542)))</f>
        <v>6.62</v>
      </c>
      <c r="C572" t="s">
        <v>36</v>
      </c>
    </row>
    <row r="573" spans="1:3">
      <c r="A573" t="s">
        <v>569</v>
      </c>
      <c r="B573" s="1">
        <f>IF('User Interface'!$B$8=Options!$E$4,IF('User Interface'!$B$9=Options!$F$5,Calculations!$F$543,Calculations!$G$543),IF('User Interface'!$B$9=Options!$F$4,IF('User Interface'!$B$12=Options!$G$4,D543,E543),IF('User Interface'!$B$12=Options!$G$4,B543,C543)))</f>
        <v>1.2450000000000001</v>
      </c>
      <c r="C573" t="s">
        <v>36</v>
      </c>
    </row>
    <row r="574" spans="1:3">
      <c r="A574" t="s">
        <v>566</v>
      </c>
      <c r="B574" s="3">
        <f>IF('User Interface'!$B$8=Options!$E$4,IF('User Interface'!$B$9=Options!$F$5,Calculations!$F$544,Calculations!$G$544),IF('User Interface'!$B$9=Options!$F$4,IF('User Interface'!$B$12=Options!$G$4,D544,E544),IF('User Interface'!$B$12=Options!$G$4,B544,C544)))</f>
        <v>51.714590763591119</v>
      </c>
      <c r="C574" t="s">
        <v>27</v>
      </c>
    </row>
    <row r="575" spans="1:3">
      <c r="A575" t="s">
        <v>597</v>
      </c>
      <c r="B575" s="1">
        <f>IF('User Interface'!$B$8=Options!$E$4,IF('User Interface'!$B$9=Options!$F$5,Calculations!$F$545,Calculations!$G$545),IF('User Interface'!$B$9=Options!$F$4,IF('User Interface'!$B$12=Options!$G$4,D545,E545),IF('User Interface'!$B$12=Options!$G$4,B545,C545)))</f>
        <v>3.1749999999999999E-3</v>
      </c>
      <c r="C575" t="s">
        <v>36</v>
      </c>
    </row>
    <row r="576" spans="1:3">
      <c r="A576" t="s">
        <v>571</v>
      </c>
      <c r="B576" s="1">
        <f>IF('User Interface'!$B$8=Options!$E$4,IF('User Interface'!$B$9=Options!$F$5,Calculations!$F$546,Calculations!$G$546),IF('User Interface'!$B$9=Options!$F$4,IF('User Interface'!$B$12=Options!$G$4,D546,E546),IF('User Interface'!$B$12=Options!$G$4,B546,C546)))</f>
        <v>3.0795318178038086E-2</v>
      </c>
      <c r="C576" t="s">
        <v>551</v>
      </c>
    </row>
    <row r="577" spans="1:3">
      <c r="A577" t="s">
        <v>570</v>
      </c>
      <c r="B577" s="1">
        <f>IF('User Interface'!$B$8=Options!$E$4,IF('User Interface'!$B$9=Options!$F$5,Calculations!$F$547,Calculations!$G$547),IF('User Interface'!$B$9=Options!$F$4,IF('User Interface'!$B$12=Options!$G$4,D547,E547),IF('User Interface'!$B$12=Options!$G$4,B547,C547)))</f>
        <v>0.127</v>
      </c>
      <c r="C577" t="s">
        <v>36</v>
      </c>
    </row>
    <row r="578" spans="1:3">
      <c r="A578" t="s">
        <v>596</v>
      </c>
      <c r="B578" s="1">
        <f>IF('User Interface'!$B$8=Options!$E$4,IF('User Interface'!$B$9=Options!$F$5,Calculations!$F$548,Calculations!$G$548),IF('User Interface'!$B$9=Options!$F$4,IF('User Interface'!$B$12=Options!$G$4,D548,E548),IF('User Interface'!$B$12=Options!$G$4,B548,C548)))</f>
        <v>1.9989800000000002E-2</v>
      </c>
      <c r="C578" t="s">
        <v>36</v>
      </c>
    </row>
    <row r="579" spans="1:3">
      <c r="B579" s="5"/>
      <c r="C579" s="41"/>
    </row>
    <row r="580" spans="1:3" s="30" customFormat="1">
      <c r="A580" s="30" t="s">
        <v>625</v>
      </c>
      <c r="B580" s="37"/>
      <c r="C580" s="40"/>
    </row>
    <row r="581" spans="1:3">
      <c r="A581" t="s">
        <v>34</v>
      </c>
      <c r="B581" s="5">
        <v>3.78</v>
      </c>
      <c r="C581" s="41" t="s">
        <v>24</v>
      </c>
    </row>
    <row r="582" spans="1:3">
      <c r="A582" t="s">
        <v>23</v>
      </c>
      <c r="B582" s="5">
        <v>3.472</v>
      </c>
      <c r="C582" s="41" t="s">
        <v>24</v>
      </c>
    </row>
    <row r="583" spans="1:3">
      <c r="A583" t="s">
        <v>96</v>
      </c>
      <c r="B583" s="14">
        <v>20000</v>
      </c>
      <c r="C583" s="41" t="s">
        <v>715</v>
      </c>
    </row>
    <row r="584" spans="1:3">
      <c r="B584" s="14">
        <f>B583*$B$135</f>
        <v>31516.840213903364</v>
      </c>
      <c r="C584" s="41" t="str">
        <f>$B$128&amp;" USD"</f>
        <v>2024 USD</v>
      </c>
    </row>
    <row r="585" spans="1:3">
      <c r="A585" t="s">
        <v>97</v>
      </c>
      <c r="B585" s="14">
        <v>25000</v>
      </c>
      <c r="C585" s="41" t="s">
        <v>715</v>
      </c>
    </row>
    <row r="586" spans="1:3">
      <c r="B586" s="14">
        <f>B585*$B$135</f>
        <v>39396.050267379207</v>
      </c>
      <c r="C586" s="41" t="str">
        <f>$B$128&amp;" USD"</f>
        <v>2024 USD</v>
      </c>
    </row>
    <row r="587" spans="1:3">
      <c r="A587" t="s">
        <v>98</v>
      </c>
      <c r="B587" s="14">
        <v>50000</v>
      </c>
      <c r="C587" s="41" t="s">
        <v>715</v>
      </c>
    </row>
    <row r="588" spans="1:3">
      <c r="B588" s="14">
        <f>B587*$B$135</f>
        <v>78792.100534758414</v>
      </c>
      <c r="C588" s="41" t="str">
        <f>$B$128&amp;" USD"</f>
        <v>2024 USD</v>
      </c>
    </row>
    <row r="589" spans="1:3">
      <c r="B589" s="14"/>
      <c r="C589" s="41"/>
    </row>
    <row r="590" spans="1:3" s="30" customFormat="1">
      <c r="A590" s="30" t="s">
        <v>660</v>
      </c>
      <c r="B590" s="50"/>
      <c r="C590" s="40"/>
    </row>
    <row r="591" spans="1:3" s="81" customFormat="1">
      <c r="A591" s="81" t="s">
        <v>958</v>
      </c>
      <c r="B591" s="82"/>
      <c r="C591" s="83"/>
    </row>
    <row r="592" spans="1:3" s="19" customFormat="1">
      <c r="A592" s="81" t="s">
        <v>971</v>
      </c>
      <c r="B592" s="51"/>
    </row>
    <row r="593" spans="1:3" s="19" customFormat="1">
      <c r="A593" s="19" t="s">
        <v>518</v>
      </c>
      <c r="B593" s="42">
        <f>IF('User Interface'!$B$12=Options!$G$4,B536,C536)</f>
        <v>22.725892457964925</v>
      </c>
      <c r="C593" s="19" t="s">
        <v>2</v>
      </c>
    </row>
    <row r="594" spans="1:3">
      <c r="A594" t="s">
        <v>626</v>
      </c>
      <c r="B594" s="3">
        <f>($B$4*1000)/B593</f>
        <v>13200.801709103249</v>
      </c>
      <c r="C594" s="41" t="s">
        <v>33</v>
      </c>
    </row>
    <row r="595" spans="1:3">
      <c r="A595" t="s">
        <v>311</v>
      </c>
      <c r="B595" s="3">
        <f>($A$65*$A$64*$A$63)/B594</f>
        <v>39.843034657304102</v>
      </c>
      <c r="C595" s="41" t="s">
        <v>32</v>
      </c>
    </row>
    <row r="596" spans="1:3">
      <c r="A596" t="s">
        <v>25</v>
      </c>
      <c r="B596" s="3">
        <f>$B$593/($B$582*($A$61/1000))</f>
        <v>109.09126563923256</v>
      </c>
      <c r="C596" s="41" t="s">
        <v>32</v>
      </c>
    </row>
    <row r="597" spans="1:3">
      <c r="A597" t="s">
        <v>672</v>
      </c>
      <c r="B597" s="3">
        <f>$B$593/($B$581*($A$61/1000))</f>
        <v>100.20234769825805</v>
      </c>
      <c r="C597" s="41" t="s">
        <v>32</v>
      </c>
    </row>
    <row r="598" spans="1:3">
      <c r="A598" t="s">
        <v>629</v>
      </c>
      <c r="B598" s="3">
        <v>1</v>
      </c>
      <c r="C598" s="41" t="s">
        <v>32</v>
      </c>
    </row>
    <row r="599" spans="1:3">
      <c r="A599" t="s">
        <v>630</v>
      </c>
      <c r="B599" s="3">
        <v>5</v>
      </c>
      <c r="C599" s="41" t="s">
        <v>32</v>
      </c>
    </row>
    <row r="600" spans="1:3">
      <c r="A600" t="s">
        <v>631</v>
      </c>
      <c r="B600" s="3">
        <v>3</v>
      </c>
      <c r="C600" s="41" t="s">
        <v>32</v>
      </c>
    </row>
    <row r="601" spans="1:3">
      <c r="A601" t="s">
        <v>632</v>
      </c>
      <c r="B601" s="3">
        <v>1</v>
      </c>
      <c r="C601" s="41" t="s">
        <v>32</v>
      </c>
    </row>
    <row r="602" spans="1:3">
      <c r="A602" t="s">
        <v>644</v>
      </c>
      <c r="B602" s="3">
        <f>B596+SUM(B$598:B$601)</f>
        <v>119.09126563923256</v>
      </c>
      <c r="C602" s="41" t="s">
        <v>32</v>
      </c>
    </row>
    <row r="603" spans="1:3">
      <c r="A603" t="s">
        <v>645</v>
      </c>
      <c r="B603" s="3">
        <f>SUM(B$597:B$601)</f>
        <v>110.20234769825805</v>
      </c>
      <c r="C603" s="41" t="s">
        <v>32</v>
      </c>
    </row>
    <row r="604" spans="1:3">
      <c r="A604" t="s">
        <v>633</v>
      </c>
      <c r="B604" s="3">
        <f>ROUNDUP(B602/$B$595,0)</f>
        <v>3</v>
      </c>
      <c r="C604" s="41" t="s">
        <v>38</v>
      </c>
    </row>
    <row r="605" spans="1:3">
      <c r="A605" t="s">
        <v>673</v>
      </c>
      <c r="B605" s="3">
        <f>ROUNDUP((B604*SUM(B598:B601))/B595,0)</f>
        <v>1</v>
      </c>
      <c r="C605" s="41" t="s">
        <v>38</v>
      </c>
    </row>
    <row r="606" spans="1:3">
      <c r="A606" t="s">
        <v>634</v>
      </c>
      <c r="B606" s="3">
        <f>ROUNDUP(B603/$B$595,0)</f>
        <v>3</v>
      </c>
      <c r="C606" s="41" t="s">
        <v>38</v>
      </c>
    </row>
    <row r="607" spans="1:3">
      <c r="A607" t="s">
        <v>674</v>
      </c>
      <c r="B607" s="3">
        <f>ROUNDUP((B606*SUM(B598:B601))/B595,0)</f>
        <v>1</v>
      </c>
      <c r="C607" s="41" t="s">
        <v>38</v>
      </c>
    </row>
    <row r="608" spans="1:3">
      <c r="A608" t="s">
        <v>664</v>
      </c>
      <c r="B608" s="3">
        <v>0</v>
      </c>
      <c r="C608" s="41" t="s">
        <v>38</v>
      </c>
    </row>
    <row r="609" spans="1:3">
      <c r="A609" t="s">
        <v>665</v>
      </c>
      <c r="B609" s="3">
        <v>0</v>
      </c>
      <c r="C609" s="41" t="s">
        <v>38</v>
      </c>
    </row>
    <row r="610" spans="1:3">
      <c r="A610" t="s">
        <v>663</v>
      </c>
      <c r="B610" s="3">
        <f>($B$20/$BN$242)*$A$63</f>
        <v>105.54395089232096</v>
      </c>
      <c r="C610" s="41" t="s">
        <v>32</v>
      </c>
    </row>
    <row r="611" spans="1:3">
      <c r="A611" t="s">
        <v>640</v>
      </c>
      <c r="B611" s="4">
        <f>$BQ$242*$B$20</f>
        <v>0.88925174871466706</v>
      </c>
      <c r="C611" s="41" t="s">
        <v>38</v>
      </c>
    </row>
    <row r="612" spans="1:3">
      <c r="A612" t="s">
        <v>642</v>
      </c>
      <c r="B612">
        <v>5</v>
      </c>
      <c r="C612" s="41" t="s">
        <v>32</v>
      </c>
    </row>
    <row r="613" spans="1:3">
      <c r="A613" t="s">
        <v>641</v>
      </c>
      <c r="B613" s="3">
        <f>B611*B612</f>
        <v>4.4462587435733356</v>
      </c>
      <c r="C613" s="41" t="s">
        <v>32</v>
      </c>
    </row>
    <row r="614" spans="1:3">
      <c r="A614" t="s">
        <v>649</v>
      </c>
      <c r="B614" s="3">
        <f>($B$110/2)/((1/$BN$242)+($BQ$242*(B612/$A$63)))</f>
        <v>300.02670336970385</v>
      </c>
      <c r="C614" s="41" t="s">
        <v>8</v>
      </c>
    </row>
    <row r="615" spans="1:3">
      <c r="A615" t="s">
        <v>653</v>
      </c>
      <c r="B615" s="3">
        <f>IF('User Interface'!$B$12=Options!$G$4,ROUNDUP(($B$20/B614),0)-1,0)</f>
        <v>0</v>
      </c>
      <c r="C615" s="41" t="s">
        <v>38</v>
      </c>
    </row>
    <row r="616" spans="1:3">
      <c r="A616" t="s">
        <v>654</v>
      </c>
      <c r="B616" s="3">
        <f>B615*$B$109</f>
        <v>0</v>
      </c>
      <c r="C616" s="41" t="s">
        <v>32</v>
      </c>
    </row>
    <row r="617" spans="1:3">
      <c r="A617" t="s">
        <v>629</v>
      </c>
      <c r="B617" s="3">
        <v>1</v>
      </c>
      <c r="C617" s="41" t="s">
        <v>32</v>
      </c>
    </row>
    <row r="618" spans="1:3">
      <c r="A618" t="s">
        <v>675</v>
      </c>
      <c r="B618" s="3">
        <v>2</v>
      </c>
      <c r="C618" s="41" t="s">
        <v>32</v>
      </c>
    </row>
    <row r="619" spans="1:3">
      <c r="A619" t="s">
        <v>676</v>
      </c>
      <c r="B619" s="3">
        <v>2</v>
      </c>
      <c r="C619" s="41" t="s">
        <v>32</v>
      </c>
    </row>
    <row r="620" spans="1:3">
      <c r="A620" t="s">
        <v>632</v>
      </c>
      <c r="B620" s="3">
        <v>1</v>
      </c>
      <c r="C620" s="41" t="s">
        <v>32</v>
      </c>
    </row>
    <row r="621" spans="1:3">
      <c r="A621" t="s">
        <v>677</v>
      </c>
      <c r="B621" s="3">
        <f>ROUNDUP(SUM(B617:B620)/B595,0)*B615</f>
        <v>0</v>
      </c>
      <c r="C621" s="41" t="s">
        <v>38</v>
      </c>
    </row>
    <row r="622" spans="1:3">
      <c r="A622" t="s">
        <v>656</v>
      </c>
      <c r="B622" s="3">
        <f>B602+B610+B613+B616</f>
        <v>229.08147527512685</v>
      </c>
      <c r="C622" s="41" t="s">
        <v>32</v>
      </c>
    </row>
    <row r="623" spans="1:3">
      <c r="A623" t="s">
        <v>657</v>
      </c>
      <c r="B623" s="3">
        <f>B603+B610+B613+B616</f>
        <v>220.19255733415235</v>
      </c>
      <c r="C623" s="41" t="s">
        <v>32</v>
      </c>
    </row>
    <row r="624" spans="1:3">
      <c r="A624" t="s">
        <v>655</v>
      </c>
      <c r="B624" s="4">
        <f>(B593/(B622+B623))*($A$63*$A$64*$A$65)*(1/1000)</f>
        <v>26.604943819636105</v>
      </c>
      <c r="C624" s="41" t="s">
        <v>20</v>
      </c>
    </row>
    <row r="625" spans="1:3">
      <c r="A625" t="s">
        <v>658</v>
      </c>
      <c r="B625" s="3">
        <f>ROUNDUP($B$4/B624,0)</f>
        <v>12</v>
      </c>
      <c r="C625" s="41" t="s">
        <v>38</v>
      </c>
    </row>
    <row r="626" spans="1:3">
      <c r="A626" t="s">
        <v>39</v>
      </c>
      <c r="B626" s="3">
        <f>IF('User Interface'!$B$12=Options!$G$4,B$625,2*B$625)</f>
        <v>12</v>
      </c>
      <c r="C626" s="41" t="s">
        <v>38</v>
      </c>
    </row>
    <row r="627" spans="1:3">
      <c r="A627" t="s">
        <v>659</v>
      </c>
      <c r="B627" s="3">
        <f>B594/B625</f>
        <v>1100.0668090919373</v>
      </c>
      <c r="C627" s="41" t="s">
        <v>662</v>
      </c>
    </row>
    <row r="628" spans="1:3">
      <c r="B628" s="3"/>
      <c r="C628" s="3"/>
    </row>
    <row r="629" spans="1:3">
      <c r="A629" s="81" t="s">
        <v>972</v>
      </c>
      <c r="B629" s="19"/>
      <c r="C629" s="3"/>
    </row>
    <row r="630" spans="1:3">
      <c r="A630" s="19" t="s">
        <v>518</v>
      </c>
      <c r="B630" s="42">
        <f>IF('User Interface'!$B$12=Options!$G$4,D536,E536)</f>
        <v>19.602147440683037</v>
      </c>
      <c r="C630" s="19" t="s">
        <v>2</v>
      </c>
    </row>
    <row r="631" spans="1:3">
      <c r="A631" t="s">
        <v>626</v>
      </c>
      <c r="B631" s="3">
        <f>($B$4*1000)/B630</f>
        <v>15304.445643407858</v>
      </c>
      <c r="C631" s="41" t="s">
        <v>33</v>
      </c>
    </row>
    <row r="632" spans="1:3">
      <c r="A632" t="s">
        <v>311</v>
      </c>
      <c r="B632" s="3">
        <f>($A$65*$A$64*$A$63)/B631</f>
        <v>34.366484893005499</v>
      </c>
      <c r="C632" s="41" t="s">
        <v>32</v>
      </c>
    </row>
    <row r="633" spans="1:3">
      <c r="A633" t="s">
        <v>25</v>
      </c>
      <c r="B633" s="3">
        <f>$B$630/($B$582*($A$61/1000))</f>
        <v>94.09632988039094</v>
      </c>
      <c r="C633" s="41" t="s">
        <v>32</v>
      </c>
    </row>
    <row r="634" spans="1:3">
      <c r="A634" t="s">
        <v>633</v>
      </c>
      <c r="B634" s="3">
        <f>ROUNDUP($B$7/$B$582,0)</f>
        <v>3</v>
      </c>
      <c r="C634" s="41" t="s">
        <v>38</v>
      </c>
    </row>
    <row r="635" spans="1:3">
      <c r="A635" t="s">
        <v>976</v>
      </c>
      <c r="B635" s="3">
        <v>3</v>
      </c>
      <c r="C635" s="41" t="s">
        <v>32</v>
      </c>
    </row>
    <row r="636" spans="1:3">
      <c r="A636" t="s">
        <v>977</v>
      </c>
      <c r="B636" s="3">
        <v>3</v>
      </c>
      <c r="C636" s="41" t="s">
        <v>32</v>
      </c>
    </row>
    <row r="637" spans="1:3">
      <c r="A637" t="s">
        <v>978</v>
      </c>
      <c r="B637">
        <f>ROUNDDOWN(B633/SUM(B635:B636),0)</f>
        <v>15</v>
      </c>
      <c r="C637" s="41" t="s">
        <v>38</v>
      </c>
    </row>
    <row r="638" spans="1:3">
      <c r="A638" t="s">
        <v>673</v>
      </c>
      <c r="B638" s="3">
        <f>ROUNDUP(B634/B637,0)</f>
        <v>1</v>
      </c>
      <c r="C638" s="41" t="s">
        <v>38</v>
      </c>
    </row>
    <row r="639" spans="1:3">
      <c r="A639" t="s">
        <v>672</v>
      </c>
      <c r="B639" s="3">
        <f>$B$630/($B$581*($A$61/1000))</f>
        <v>86.429221519766486</v>
      </c>
      <c r="C639" s="41" t="s">
        <v>32</v>
      </c>
    </row>
    <row r="640" spans="1:3">
      <c r="A640" t="s">
        <v>634</v>
      </c>
      <c r="B640">
        <f>ROUNDUP($B$7/$B$581,0)</f>
        <v>3</v>
      </c>
      <c r="C640" s="41" t="s">
        <v>38</v>
      </c>
    </row>
    <row r="641" spans="1:3">
      <c r="A641" t="s">
        <v>978</v>
      </c>
      <c r="B641">
        <f>ROUNDDOWN(B639/SUM(B635:B636),0)</f>
        <v>14</v>
      </c>
      <c r="C641" s="41" t="s">
        <v>38</v>
      </c>
    </row>
    <row r="642" spans="1:3">
      <c r="A642" t="s">
        <v>674</v>
      </c>
      <c r="B642" s="3">
        <f>ROUNDUP(B640/B641,0)</f>
        <v>1</v>
      </c>
      <c r="C642" s="41" t="s">
        <v>38</v>
      </c>
    </row>
    <row r="643" spans="1:3">
      <c r="A643" t="s">
        <v>629</v>
      </c>
      <c r="B643">
        <v>1</v>
      </c>
      <c r="C643" s="41" t="s">
        <v>32</v>
      </c>
    </row>
    <row r="644" spans="1:3">
      <c r="A644" t="s">
        <v>643</v>
      </c>
      <c r="B644">
        <v>5</v>
      </c>
      <c r="C644" s="41" t="s">
        <v>32</v>
      </c>
    </row>
    <row r="645" spans="1:3">
      <c r="A645" t="s">
        <v>973</v>
      </c>
      <c r="B645">
        <v>5</v>
      </c>
      <c r="C645" s="41" t="s">
        <v>32</v>
      </c>
    </row>
    <row r="646" spans="1:3">
      <c r="A646" t="s">
        <v>632</v>
      </c>
      <c r="B646">
        <v>1</v>
      </c>
      <c r="C646" s="41" t="s">
        <v>32</v>
      </c>
    </row>
    <row r="647" spans="1:3">
      <c r="A647" t="s">
        <v>974</v>
      </c>
      <c r="B647" s="3">
        <f>MAX($B$109-SUM(B643:B646),0)</f>
        <v>18</v>
      </c>
      <c r="C647" s="41" t="s">
        <v>32</v>
      </c>
    </row>
    <row r="648" spans="1:3">
      <c r="A648" t="s">
        <v>644</v>
      </c>
      <c r="B648" s="3">
        <f>B647+SUM(B$643:B$646)</f>
        <v>30</v>
      </c>
      <c r="C648" s="41" t="s">
        <v>32</v>
      </c>
    </row>
    <row r="649" spans="1:3">
      <c r="A649" t="s">
        <v>664</v>
      </c>
      <c r="B649" s="3">
        <f>ROUNDUP(SUM(B643:B646)/B632,0)</f>
        <v>1</v>
      </c>
      <c r="C649" s="41" t="s">
        <v>38</v>
      </c>
    </row>
    <row r="650" spans="1:3">
      <c r="A650" t="s">
        <v>985</v>
      </c>
      <c r="B650" s="3">
        <f>ROUNDUP(B644/B632,0)</f>
        <v>1</v>
      </c>
      <c r="C650" s="41" t="s">
        <v>38</v>
      </c>
    </row>
    <row r="651" spans="1:3">
      <c r="A651" t="s">
        <v>975</v>
      </c>
      <c r="B651" s="3">
        <f>MAX($B$109-SUM(B643:B646),0)</f>
        <v>18</v>
      </c>
      <c r="C651" s="41" t="s">
        <v>32</v>
      </c>
    </row>
    <row r="652" spans="1:3">
      <c r="A652" t="s">
        <v>645</v>
      </c>
      <c r="B652" s="3">
        <f>B651+SUM(B$643:B$646)</f>
        <v>30</v>
      </c>
      <c r="C652" s="41" t="s">
        <v>32</v>
      </c>
    </row>
    <row r="653" spans="1:3">
      <c r="A653" t="s">
        <v>665</v>
      </c>
      <c r="B653" s="3">
        <f>ROUNDUP(SUM(B642:B646)/B632,0)</f>
        <v>1</v>
      </c>
      <c r="C653" s="41" t="s">
        <v>38</v>
      </c>
    </row>
    <row r="654" spans="1:3">
      <c r="A654" t="s">
        <v>984</v>
      </c>
      <c r="B654" s="3">
        <f>ROUNDUP(B644/B632,0)</f>
        <v>1</v>
      </c>
      <c r="C654" s="41" t="s">
        <v>38</v>
      </c>
    </row>
    <row r="655" spans="1:3">
      <c r="A655" t="s">
        <v>663</v>
      </c>
      <c r="B655" s="3">
        <f>($B$20/$BN$242)*$A$63</f>
        <v>105.54395089232096</v>
      </c>
      <c r="C655" s="41" t="s">
        <v>32</v>
      </c>
    </row>
    <row r="656" spans="1:3">
      <c r="A656" t="s">
        <v>640</v>
      </c>
      <c r="B656" s="4">
        <f>$BQ$242*$B$20</f>
        <v>0.88925174871466706</v>
      </c>
      <c r="C656" s="41"/>
    </row>
    <row r="657" spans="1:3">
      <c r="A657" t="s">
        <v>642</v>
      </c>
      <c r="B657">
        <v>5</v>
      </c>
      <c r="C657" s="41" t="s">
        <v>32</v>
      </c>
    </row>
    <row r="658" spans="1:3">
      <c r="A658" t="s">
        <v>641</v>
      </c>
      <c r="B658" s="3">
        <f>B656*B657</f>
        <v>4.4462587435733356</v>
      </c>
      <c r="C658" s="41" t="s">
        <v>32</v>
      </c>
    </row>
    <row r="659" spans="1:3">
      <c r="A659" t="s">
        <v>649</v>
      </c>
      <c r="B659" s="3">
        <f>($B$110/2)/((1/$BN$242)+($BQ$242*(B657/$A$63)))</f>
        <v>300.02670336970385</v>
      </c>
      <c r="C659" s="41" t="s">
        <v>8</v>
      </c>
    </row>
    <row r="660" spans="1:3">
      <c r="A660" t="s">
        <v>653</v>
      </c>
      <c r="B660" s="3">
        <f>IF('User Interface'!$B$12=Options!$G$4,ROUNDUP(($B$20/B659),0)-1,0)</f>
        <v>0</v>
      </c>
      <c r="C660" s="41" t="s">
        <v>38</v>
      </c>
    </row>
    <row r="661" spans="1:3">
      <c r="A661" t="s">
        <v>654</v>
      </c>
      <c r="B661" s="3">
        <f>B660*$B$109</f>
        <v>0</v>
      </c>
      <c r="C661" s="41" t="s">
        <v>32</v>
      </c>
    </row>
    <row r="662" spans="1:3">
      <c r="A662" t="s">
        <v>629</v>
      </c>
      <c r="B662" s="3">
        <v>1</v>
      </c>
      <c r="C662" s="41" t="s">
        <v>32</v>
      </c>
    </row>
    <row r="663" spans="1:3">
      <c r="A663" t="s">
        <v>675</v>
      </c>
      <c r="B663" s="3">
        <v>2</v>
      </c>
      <c r="C663" s="41" t="s">
        <v>32</v>
      </c>
    </row>
    <row r="664" spans="1:3">
      <c r="A664" t="s">
        <v>676</v>
      </c>
      <c r="B664" s="3">
        <v>2</v>
      </c>
      <c r="C664" s="41" t="s">
        <v>32</v>
      </c>
    </row>
    <row r="665" spans="1:3">
      <c r="A665" t="s">
        <v>632</v>
      </c>
      <c r="B665" s="3">
        <v>1</v>
      </c>
      <c r="C665" s="41" t="s">
        <v>32</v>
      </c>
    </row>
    <row r="666" spans="1:3">
      <c r="A666" t="s">
        <v>677</v>
      </c>
      <c r="B666" s="3">
        <f>ROUNDUP(SUM(B662:B665)/B632,0)*B660</f>
        <v>0</v>
      </c>
      <c r="C666" s="41" t="s">
        <v>38</v>
      </c>
    </row>
    <row r="667" spans="1:3">
      <c r="A667" t="s">
        <v>656</v>
      </c>
      <c r="B667" s="3">
        <f>B648+B655+B658+B661</f>
        <v>139.9902096358943</v>
      </c>
      <c r="C667" s="41" t="s">
        <v>32</v>
      </c>
    </row>
    <row r="668" spans="1:3">
      <c r="A668" t="s">
        <v>657</v>
      </c>
      <c r="B668" s="3">
        <f>B652+B655+B658+B661</f>
        <v>139.9902096358943</v>
      </c>
      <c r="C668" s="41" t="s">
        <v>32</v>
      </c>
    </row>
    <row r="669" spans="1:3">
      <c r="A669" t="s">
        <v>655</v>
      </c>
      <c r="B669" s="4">
        <f>(B630/(B667+B668))*($A$63*$A$64*$A$65)*(1/1000)</f>
        <v>36.823808946058328</v>
      </c>
      <c r="C669" s="41" t="s">
        <v>20</v>
      </c>
    </row>
    <row r="670" spans="1:3">
      <c r="A670" t="s">
        <v>658</v>
      </c>
      <c r="B670" s="3">
        <f>ROUNDUP($B$4/B669,0)</f>
        <v>9</v>
      </c>
      <c r="C670" s="41" t="s">
        <v>38</v>
      </c>
    </row>
    <row r="671" spans="1:3">
      <c r="A671" t="s">
        <v>39</v>
      </c>
      <c r="B671" s="3">
        <f>IF('User Interface'!$B$12=Options!$G$4,B$670,2*B$670)</f>
        <v>9</v>
      </c>
      <c r="C671" s="41" t="s">
        <v>38</v>
      </c>
    </row>
    <row r="672" spans="1:3">
      <c r="A672" t="s">
        <v>659</v>
      </c>
      <c r="B672" s="3">
        <f>B631/B670</f>
        <v>1700.4939603786509</v>
      </c>
      <c r="C672" s="41" t="s">
        <v>662</v>
      </c>
    </row>
    <row r="674" spans="1:3">
      <c r="A674" s="81" t="s">
        <v>959</v>
      </c>
      <c r="B674" s="3"/>
      <c r="C674" s="3"/>
    </row>
    <row r="675" spans="1:3">
      <c r="A675" s="81" t="s">
        <v>960</v>
      </c>
      <c r="B675" s="3"/>
      <c r="C675" s="3"/>
    </row>
    <row r="676" spans="1:3">
      <c r="A676" s="19" t="s">
        <v>968</v>
      </c>
      <c r="B676" s="3">
        <f>$B$20</f>
        <v>100</v>
      </c>
      <c r="C676" s="3" t="s">
        <v>8</v>
      </c>
    </row>
    <row r="677" spans="1:3">
      <c r="A677" s="19" t="s">
        <v>969</v>
      </c>
      <c r="B677" s="4">
        <f>$CE$242</f>
        <v>11.141891630028415</v>
      </c>
      <c r="C677" s="3" t="s">
        <v>305</v>
      </c>
    </row>
    <row r="678" spans="1:3">
      <c r="A678" s="19" t="s">
        <v>967</v>
      </c>
      <c r="B678" s="4">
        <f>B676/B677</f>
        <v>8.9751366572701965</v>
      </c>
      <c r="C678" s="3" t="s">
        <v>10</v>
      </c>
    </row>
    <row r="679" spans="1:3">
      <c r="A679" t="s">
        <v>630</v>
      </c>
      <c r="B679" s="3">
        <v>5</v>
      </c>
      <c r="C679" s="41" t="s">
        <v>32</v>
      </c>
    </row>
    <row r="680" spans="1:3">
      <c r="A680" t="s">
        <v>631</v>
      </c>
      <c r="B680" s="3">
        <v>3</v>
      </c>
      <c r="C680" s="41" t="s">
        <v>32</v>
      </c>
    </row>
    <row r="681" spans="1:3">
      <c r="A681" s="19" t="s">
        <v>1150</v>
      </c>
      <c r="B681" s="4">
        <f>(($F$536*$A$50)/$B$582)/$A$62</f>
        <v>6.5846647956771003</v>
      </c>
      <c r="C681" s="3" t="s">
        <v>10</v>
      </c>
    </row>
    <row r="682" spans="1:3">
      <c r="A682" s="19" t="s">
        <v>1151</v>
      </c>
      <c r="B682" s="4">
        <f>(($F$536*$A$50)/$B$581)/$A$62</f>
        <v>6.0481365530663735</v>
      </c>
      <c r="C682" s="3" t="s">
        <v>10</v>
      </c>
    </row>
    <row r="683" spans="1:3">
      <c r="A683" s="19" t="s">
        <v>1153</v>
      </c>
      <c r="B683" s="4">
        <f>B681-B682</f>
        <v>0.53652824261072674</v>
      </c>
      <c r="C683" s="3" t="s">
        <v>10</v>
      </c>
    </row>
    <row r="684" spans="1:3">
      <c r="A684" s="19" t="s">
        <v>1152</v>
      </c>
      <c r="B684" s="4">
        <f>B678+(B679/$A$63)+B681+(B680/$A$63)+B678+(B679/$A$63)+B682+(B680/$A$63)+B683</f>
        <v>31.386269572561261</v>
      </c>
      <c r="C684" s="3" t="s">
        <v>10</v>
      </c>
    </row>
    <row r="685" spans="1:3">
      <c r="A685" s="19" t="s">
        <v>1154</v>
      </c>
      <c r="B685" s="3">
        <f>B684*$B$6</f>
        <v>1074.1365356797146</v>
      </c>
      <c r="C685" s="3" t="s">
        <v>21</v>
      </c>
    </row>
    <row r="686" spans="1:3">
      <c r="A686" s="19" t="s">
        <v>1147</v>
      </c>
      <c r="B686" s="3">
        <f>$F$536/$B$6</f>
        <v>2.4048948934967975</v>
      </c>
      <c r="C686" s="3" t="s">
        <v>10</v>
      </c>
    </row>
    <row r="687" spans="1:3">
      <c r="A687" s="19" t="s">
        <v>1155</v>
      </c>
      <c r="B687" s="3">
        <f>IF(B684&lt;B686,(B686-B684)/2,0)</f>
        <v>0</v>
      </c>
      <c r="C687" s="3" t="s">
        <v>10</v>
      </c>
    </row>
    <row r="688" spans="1:3">
      <c r="A688" s="19" t="s">
        <v>1167</v>
      </c>
      <c r="B688" s="3">
        <v>1</v>
      </c>
      <c r="C688" s="3" t="s">
        <v>38</v>
      </c>
    </row>
    <row r="689" spans="1:3">
      <c r="A689" s="19" t="s">
        <v>1156</v>
      </c>
      <c r="B689" s="3">
        <f>(B684+(2*B687))/B688</f>
        <v>31.386269572561261</v>
      </c>
      <c r="C689" s="3" t="s">
        <v>10</v>
      </c>
    </row>
    <row r="690" spans="1:3">
      <c r="A690" s="19" t="s">
        <v>1154</v>
      </c>
      <c r="B690" s="3">
        <f>B689*$B$6</f>
        <v>1074.1365356797146</v>
      </c>
      <c r="C690" s="3" t="s">
        <v>21</v>
      </c>
    </row>
    <row r="691" spans="1:3">
      <c r="A691" s="19" t="s">
        <v>1148</v>
      </c>
      <c r="B691" s="3">
        <f>ROUNDUP(B690/$F$536,0)</f>
        <v>14</v>
      </c>
      <c r="C691" s="3" t="s">
        <v>38</v>
      </c>
    </row>
    <row r="692" spans="1:3">
      <c r="A692" s="19" t="s">
        <v>1159</v>
      </c>
      <c r="B692" s="3">
        <f>ROUNDUP(B691/$B$113,0)</f>
        <v>1</v>
      </c>
      <c r="C692" s="3" t="s">
        <v>38</v>
      </c>
    </row>
    <row r="693" spans="1:3">
      <c r="A693" s="19" t="s">
        <v>962</v>
      </c>
      <c r="B693" s="3">
        <f>ROUNDUP(B691/B692,0)</f>
        <v>14</v>
      </c>
      <c r="C693" s="3" t="s">
        <v>1157</v>
      </c>
    </row>
    <row r="694" spans="1:3">
      <c r="A694" s="19" t="s">
        <v>1166</v>
      </c>
      <c r="B694" s="3">
        <f>B689/B692</f>
        <v>31.386269572561261</v>
      </c>
      <c r="C694" s="3" t="s">
        <v>10</v>
      </c>
    </row>
    <row r="695" spans="1:3">
      <c r="A695" s="19" t="s">
        <v>1154</v>
      </c>
      <c r="B695" s="3">
        <f>B694*$B$6</f>
        <v>1074.1365356797146</v>
      </c>
      <c r="C695" s="3" t="s">
        <v>21</v>
      </c>
    </row>
    <row r="696" spans="1:3">
      <c r="A696" s="19" t="s">
        <v>1149</v>
      </c>
      <c r="B696" s="4">
        <f>(($F$536*$A$50)/$B$582)/$A$62</f>
        <v>6.5846647956771003</v>
      </c>
      <c r="C696" s="3" t="s">
        <v>961</v>
      </c>
    </row>
    <row r="697" spans="1:3">
      <c r="A697" s="19" t="s">
        <v>966</v>
      </c>
      <c r="B697" s="3">
        <f>B693</f>
        <v>14</v>
      </c>
      <c r="C697" s="3" t="s">
        <v>38</v>
      </c>
    </row>
    <row r="698" spans="1:3">
      <c r="A698" s="19" t="s">
        <v>1160</v>
      </c>
      <c r="B698">
        <f>ROUNDDOWN((MAX(B681:B682)*$A$63)/SUM(B679:B680),0)</f>
        <v>49</v>
      </c>
      <c r="C698" s="3" t="s">
        <v>1161</v>
      </c>
    </row>
    <row r="699" spans="1:3">
      <c r="A699" s="19" t="s">
        <v>1162</v>
      </c>
      <c r="B699">
        <f>ROUNDUP(B697/B698,0)</f>
        <v>1</v>
      </c>
      <c r="C699" s="3" t="s">
        <v>38</v>
      </c>
    </row>
    <row r="700" spans="1:3">
      <c r="A700" s="19" t="s">
        <v>1163</v>
      </c>
      <c r="B700" s="3">
        <f>ROUNDUP(B697/B698,0)</f>
        <v>1</v>
      </c>
      <c r="C700" s="3" t="s">
        <v>38</v>
      </c>
    </row>
    <row r="701" spans="1:3">
      <c r="A701" t="s">
        <v>664</v>
      </c>
      <c r="B701" s="3">
        <v>0</v>
      </c>
      <c r="C701" s="3" t="s">
        <v>38</v>
      </c>
    </row>
    <row r="702" spans="1:3">
      <c r="A702" t="s">
        <v>665</v>
      </c>
      <c r="B702" s="3">
        <v>0</v>
      </c>
      <c r="C702" s="3" t="s">
        <v>38</v>
      </c>
    </row>
    <row r="703" spans="1:3">
      <c r="A703" s="19" t="s">
        <v>1164</v>
      </c>
      <c r="B703" s="3">
        <v>0</v>
      </c>
      <c r="C703" s="3" t="s">
        <v>38</v>
      </c>
    </row>
    <row r="704" spans="1:3">
      <c r="A704" t="s">
        <v>656</v>
      </c>
      <c r="B704" s="3">
        <f>($B$689/2)*$A$63</f>
        <v>941.5880871768378</v>
      </c>
      <c r="C704" s="41" t="s">
        <v>32</v>
      </c>
    </row>
    <row r="705" spans="1:3">
      <c r="A705" t="s">
        <v>657</v>
      </c>
      <c r="B705" s="3">
        <f>($B$684/2)*$A$63</f>
        <v>941.5880871768378</v>
      </c>
      <c r="C705" s="41" t="s">
        <v>32</v>
      </c>
    </row>
    <row r="706" spans="1:3">
      <c r="A706" t="s">
        <v>1158</v>
      </c>
      <c r="B706" s="3">
        <f>($B$4*$A$50)/$F$536</f>
        <v>3645.0657464093761</v>
      </c>
      <c r="C706" s="3" t="s">
        <v>33</v>
      </c>
    </row>
    <row r="707" spans="1:3">
      <c r="A707" t="s">
        <v>659</v>
      </c>
      <c r="B707" s="3">
        <f>B706/B691</f>
        <v>260.36183902924114</v>
      </c>
      <c r="C707" s="41" t="s">
        <v>662</v>
      </c>
    </row>
    <row r="708" spans="1:3">
      <c r="B708" s="3"/>
      <c r="C708" s="3"/>
    </row>
    <row r="709" spans="1:3">
      <c r="A709" s="81" t="s">
        <v>970</v>
      </c>
      <c r="B709" s="3"/>
      <c r="C709" s="3"/>
    </row>
    <row r="710" spans="1:3">
      <c r="A710" s="41" t="str">
        <f t="shared" ref="A710:B712" si="55">A676</f>
        <v>Transport distance</v>
      </c>
      <c r="B710" s="41">
        <f t="shared" si="55"/>
        <v>100</v>
      </c>
      <c r="C710" s="41" t="s">
        <v>8</v>
      </c>
    </row>
    <row r="711" spans="1:3">
      <c r="A711" s="41" t="str">
        <f t="shared" si="55"/>
        <v>Transport speed</v>
      </c>
      <c r="B711" s="41">
        <f t="shared" si="55"/>
        <v>11.141891630028415</v>
      </c>
      <c r="C711" s="41" t="s">
        <v>305</v>
      </c>
    </row>
    <row r="712" spans="1:3">
      <c r="A712" s="41" t="str">
        <f t="shared" si="55"/>
        <v>Transport time</v>
      </c>
      <c r="B712" s="41">
        <f t="shared" si="55"/>
        <v>8.9751366572701965</v>
      </c>
      <c r="C712" s="41" t="s">
        <v>10</v>
      </c>
    </row>
    <row r="713" spans="1:3">
      <c r="A713" s="41" t="str">
        <f>A679</f>
        <v>Hook up time</v>
      </c>
      <c r="B713" s="41">
        <f>B679*4</f>
        <v>20</v>
      </c>
      <c r="C713" s="41" t="s">
        <v>32</v>
      </c>
    </row>
    <row r="714" spans="1:3">
      <c r="A714" s="41" t="str">
        <f>A680</f>
        <v>Unhook time</v>
      </c>
      <c r="B714" s="41">
        <f>B680*4</f>
        <v>12</v>
      </c>
      <c r="C714" s="41" t="s">
        <v>32</v>
      </c>
    </row>
    <row r="715" spans="1:3">
      <c r="A715" s="41" t="s">
        <v>1168</v>
      </c>
      <c r="B715" s="41">
        <f>(($G$536*$A$50)/$B$582)/$A$62</f>
        <v>6.4783202124936006</v>
      </c>
      <c r="C715" s="41" t="s">
        <v>10</v>
      </c>
    </row>
    <row r="716" spans="1:3">
      <c r="A716" s="41" t="s">
        <v>1169</v>
      </c>
      <c r="B716" s="41">
        <f>(($G$536*$A$50)/$B$581)/$A$62</f>
        <v>5.9504570840681952</v>
      </c>
      <c r="C716" s="41" t="s">
        <v>10</v>
      </c>
    </row>
    <row r="717" spans="1:3">
      <c r="A717" s="41" t="str">
        <f t="shared" ref="A717:A725" si="56">A683</f>
        <v>Hold time at discharge</v>
      </c>
      <c r="B717" s="41">
        <f>B681-B682</f>
        <v>0.53652824261072674</v>
      </c>
      <c r="C717" s="41" t="s">
        <v>10</v>
      </c>
    </row>
    <row r="718" spans="1:3">
      <c r="A718" s="41" t="str">
        <f t="shared" si="56"/>
        <v>Cycle time</v>
      </c>
      <c r="B718" s="4">
        <f>B712+(B713/$A$63)+B715+(B714/$A$63)+B712+(B713/$A$63)+B716+(B714/$A$63)+B717</f>
        <v>31.982245520379578</v>
      </c>
      <c r="C718" s="41" t="s">
        <v>10</v>
      </c>
    </row>
    <row r="719" spans="1:3">
      <c r="A719" s="41" t="str">
        <f t="shared" si="56"/>
        <v>Buffer volume</v>
      </c>
      <c r="B719" s="3">
        <f>B718*$B$6</f>
        <v>1094.5327009027917</v>
      </c>
      <c r="C719" s="41" t="s">
        <v>21</v>
      </c>
    </row>
    <row r="720" spans="1:3">
      <c r="A720" s="41" t="str">
        <f t="shared" si="56"/>
        <v>Time until minimum volume available</v>
      </c>
      <c r="B720" s="3">
        <f>$G$536/$B$6</f>
        <v>2.3660550204000002</v>
      </c>
      <c r="C720" s="41" t="s">
        <v>10</v>
      </c>
    </row>
    <row r="721" spans="1:3">
      <c r="A721" s="41" t="str">
        <f t="shared" si="56"/>
        <v>Additional hold time for each leg</v>
      </c>
      <c r="B721" s="3">
        <f>IF(B718&lt;B720,(B720-B718)/2,0)</f>
        <v>0</v>
      </c>
      <c r="C721" s="41" t="s">
        <v>10</v>
      </c>
    </row>
    <row r="722" spans="1:3">
      <c r="A722" s="41" t="str">
        <f t="shared" si="56"/>
        <v>Unit trains operating in parallel</v>
      </c>
      <c r="B722" s="3">
        <v>1</v>
      </c>
      <c r="C722" s="41" t="s">
        <v>38</v>
      </c>
    </row>
    <row r="723" spans="1:3">
      <c r="A723" s="41" t="str">
        <f t="shared" si="56"/>
        <v>Adjusted Cycle time</v>
      </c>
      <c r="B723" s="3">
        <f>(B718+(2*B721))/B722</f>
        <v>31.982245520379578</v>
      </c>
      <c r="C723" s="41" t="s">
        <v>10</v>
      </c>
    </row>
    <row r="724" spans="1:3">
      <c r="A724" s="41" t="str">
        <f t="shared" si="56"/>
        <v>Buffer volume</v>
      </c>
      <c r="B724" s="3">
        <f>B723*$B$6</f>
        <v>1094.5327009027917</v>
      </c>
      <c r="C724" s="41" t="s">
        <v>21</v>
      </c>
    </row>
    <row r="725" spans="1:3">
      <c r="A725" s="41" t="str">
        <f t="shared" si="56"/>
        <v>Rail cars required</v>
      </c>
      <c r="B725" s="3">
        <f>ROUNDUP(B724/$G$536,0)</f>
        <v>14</v>
      </c>
      <c r="C725" s="41" t="s">
        <v>38</v>
      </c>
    </row>
    <row r="726" spans="1:3">
      <c r="A726" t="s">
        <v>1165</v>
      </c>
      <c r="B726">
        <f>B725*4</f>
        <v>56</v>
      </c>
      <c r="C726" t="s">
        <v>38</v>
      </c>
    </row>
    <row r="727" spans="1:3">
      <c r="A727" s="41" t="str">
        <f t="shared" ref="A727:A742" si="57">A692</f>
        <v>Unit trains operating in parallel required</v>
      </c>
      <c r="B727" s="3">
        <f>ROUNDUP(B725/$B$113,0)</f>
        <v>1</v>
      </c>
      <c r="C727" s="41" t="s">
        <v>38</v>
      </c>
    </row>
    <row r="728" spans="1:3">
      <c r="A728" s="41" t="str">
        <f t="shared" si="57"/>
        <v>Unit train length</v>
      </c>
      <c r="B728" s="3">
        <f>ROUNDUP(B725/B727,0)</f>
        <v>14</v>
      </c>
      <c r="C728" s="41" t="s">
        <v>1157</v>
      </c>
    </row>
    <row r="729" spans="1:3">
      <c r="A729" s="41" t="str">
        <f t="shared" si="57"/>
        <v>Time between trains</v>
      </c>
      <c r="B729" s="3">
        <f>B723/B727</f>
        <v>31.982245520379578</v>
      </c>
      <c r="C729" s="41" t="s">
        <v>10</v>
      </c>
    </row>
    <row r="730" spans="1:3">
      <c r="A730" s="41" t="str">
        <f t="shared" si="57"/>
        <v>Buffer volume</v>
      </c>
      <c r="B730" s="3">
        <f>B729*$B$6</f>
        <v>1094.5327009027917</v>
      </c>
      <c r="C730" s="41" t="s">
        <v>21</v>
      </c>
    </row>
    <row r="731" spans="1:3">
      <c r="A731" s="41" t="str">
        <f t="shared" si="57"/>
        <v>Fill rate per car</v>
      </c>
      <c r="B731" s="4">
        <f>(($G$536*$A$50)/$B$582)/$A$62</f>
        <v>6.4783202124936006</v>
      </c>
      <c r="C731" s="41" t="s">
        <v>961</v>
      </c>
    </row>
    <row r="732" spans="1:3">
      <c r="A732" s="41" t="str">
        <f t="shared" si="57"/>
        <v>Nozzle number</v>
      </c>
      <c r="B732" s="3">
        <f>B728</f>
        <v>14</v>
      </c>
      <c r="C732" s="41" t="s">
        <v>38</v>
      </c>
    </row>
    <row r="733" spans="1:3">
      <c r="A733" s="41" t="str">
        <f t="shared" si="57"/>
        <v>Rail cars per filler or discharger</v>
      </c>
      <c r="B733">
        <f>ROUNDDOWN((MAX(B715:B716)*$A$63)/SUM(B713:B714),0)</f>
        <v>12</v>
      </c>
      <c r="C733" s="41" t="s">
        <v>1161</v>
      </c>
    </row>
    <row r="734" spans="1:3">
      <c r="A734" s="41" t="str">
        <f t="shared" si="57"/>
        <v>Rail car fillers</v>
      </c>
      <c r="B734">
        <f>ROUNDUP(B732/B733,0)</f>
        <v>2</v>
      </c>
      <c r="C734" s="41" t="s">
        <v>38</v>
      </c>
    </row>
    <row r="735" spans="1:3">
      <c r="A735" s="41" t="str">
        <f t="shared" si="57"/>
        <v>Rail car dischargers</v>
      </c>
      <c r="B735" s="3">
        <f>ROUNDUP(B732/B733,0)</f>
        <v>2</v>
      </c>
      <c r="C735" s="41" t="s">
        <v>38</v>
      </c>
    </row>
    <row r="736" spans="1:3">
      <c r="A736" s="41" t="str">
        <f t="shared" si="57"/>
        <v>Loaders required</v>
      </c>
      <c r="B736" s="3">
        <v>0</v>
      </c>
      <c r="C736" s="41" t="s">
        <v>38</v>
      </c>
    </row>
    <row r="737" spans="1:3">
      <c r="A737" s="41" t="str">
        <f t="shared" si="57"/>
        <v>Unloaders required</v>
      </c>
      <c r="B737" s="3">
        <v>0</v>
      </c>
      <c r="C737" s="41" t="s">
        <v>38</v>
      </c>
    </row>
    <row r="738" spans="1:3">
      <c r="A738" s="41" t="str">
        <f t="shared" si="57"/>
        <v>Crane Operators</v>
      </c>
      <c r="B738" s="3">
        <v>0</v>
      </c>
      <c r="C738" s="41" t="s">
        <v>38</v>
      </c>
    </row>
    <row r="739" spans="1:3">
      <c r="A739" s="41" t="str">
        <f t="shared" si="57"/>
        <v>Loaded time</v>
      </c>
      <c r="B739" s="3">
        <f>($B$723/2)*$A$63</f>
        <v>959.46736561138732</v>
      </c>
      <c r="C739" s="41" t="s">
        <v>32</v>
      </c>
    </row>
    <row r="740" spans="1:3">
      <c r="A740" s="41" t="str">
        <f t="shared" si="57"/>
        <v>Unloaded time</v>
      </c>
      <c r="B740" s="3">
        <f>($B$723/2)*$A$63</f>
        <v>959.46736561138732</v>
      </c>
      <c r="C740" s="41" t="s">
        <v>32</v>
      </c>
    </row>
    <row r="741" spans="1:3">
      <c r="A741" s="41" t="str">
        <f t="shared" si="57"/>
        <v>Transfers per year</v>
      </c>
      <c r="B741" s="3">
        <f>($B$4*$A$50)/$G$536</f>
        <v>3704.9011643516383</v>
      </c>
      <c r="C741" s="41" t="s">
        <v>33</v>
      </c>
    </row>
    <row r="742" spans="1:3">
      <c r="A742" s="41" t="str">
        <f t="shared" si="57"/>
        <v>Annual trips</v>
      </c>
      <c r="B742" s="3">
        <f>B741/B725</f>
        <v>264.63579745368844</v>
      </c>
      <c r="C742" s="41" t="s">
        <v>662</v>
      </c>
    </row>
    <row r="743" spans="1:3">
      <c r="B743" s="3"/>
      <c r="C743" s="41"/>
    </row>
    <row r="744" spans="1:3">
      <c r="A744" s="81" t="s">
        <v>377</v>
      </c>
      <c r="B744" s="3"/>
      <c r="C744" s="3"/>
    </row>
    <row r="745" spans="1:3">
      <c r="A745" t="s">
        <v>626</v>
      </c>
      <c r="B745" s="3">
        <f>IF('User Interface'!$B$8=Options!$E$4,IF('User Interface'!$B$9=Options!$F$4,B741,B706),IF('User Interface'!$B$9=Options!$F$4,Calculations!$B631,Calculations!$B594))</f>
        <v>13200.801709103249</v>
      </c>
      <c r="C745" s="3" t="s">
        <v>33</v>
      </c>
    </row>
    <row r="746" spans="1:3">
      <c r="A746" t="s">
        <v>658</v>
      </c>
      <c r="B746" s="3">
        <f>IF('User Interface'!$B$8=Options!$E$4,IF('User Interface'!$B$9=Options!$F$4,B725,B691),IF('User Interface'!$B$9=Options!$F$4,Calculations!$B670,Calculations!$B625))</f>
        <v>12</v>
      </c>
      <c r="C746" s="3" t="s">
        <v>38</v>
      </c>
    </row>
    <row r="747" spans="1:3">
      <c r="A747" t="s">
        <v>738</v>
      </c>
      <c r="B747" s="14">
        <f>B746*B566</f>
        <v>3980052.299272499</v>
      </c>
      <c r="C747" s="3"/>
    </row>
    <row r="748" spans="1:3">
      <c r="A748" t="s">
        <v>39</v>
      </c>
      <c r="B748" s="3">
        <f>IF('User Interface'!$B$8=Options!$E$4,0,IF('User Interface'!$B$9=Options!$F$4,Calculations!$B671,Calculations!$B626))</f>
        <v>12</v>
      </c>
      <c r="C748" s="3" t="s">
        <v>38</v>
      </c>
    </row>
    <row r="749" spans="1:3">
      <c r="A749" t="s">
        <v>659</v>
      </c>
      <c r="B749" s="3">
        <f>IF('User Interface'!$B$8=Options!$E$4,IF('User Interface'!$B$9=Options!$F$4,B742,B707),IF('User Interface'!$B$9=Options!$F$4,Calculations!$B672,Calculations!$B627))</f>
        <v>1100.0668090919373</v>
      </c>
      <c r="C749" s="3" t="s">
        <v>662</v>
      </c>
    </row>
    <row r="750" spans="1:3">
      <c r="A750" t="s">
        <v>666</v>
      </c>
      <c r="B750" s="3">
        <f>$B$749*$B$746*$B$20</f>
        <v>1320080.1709103249</v>
      </c>
      <c r="C750" s="3" t="s">
        <v>467</v>
      </c>
    </row>
    <row r="751" spans="1:3">
      <c r="A751" t="s">
        <v>667</v>
      </c>
      <c r="B751" s="3">
        <f>$B$749*$B$746*$B$20</f>
        <v>1320080.1709103249</v>
      </c>
      <c r="C751" s="3" t="s">
        <v>467</v>
      </c>
    </row>
    <row r="752" spans="1:3">
      <c r="A752" t="s">
        <v>644</v>
      </c>
      <c r="B752" s="3">
        <f>IF('User Interface'!$B$8=Options!$E$4,IF('User Interface'!$B$9=Options!$F$4,B715*$A$63,B696*$A$63),IF('User Interface'!$B$9=Options!$F$4,Calculations!$B648,Calculations!$B602))</f>
        <v>119.09126563923256</v>
      </c>
      <c r="C752" s="3" t="s">
        <v>32</v>
      </c>
    </row>
    <row r="753" spans="1:3">
      <c r="A753" t="s">
        <v>661</v>
      </c>
      <c r="B753" s="46">
        <f>IF('User Interface'!$B$8=Options!$E$4,IF('User Interface'!$B$10=Options!$AB$5,'User Interface'!$B$11*$A$63,IF('User Interface'!$B$9=Options!$F$4,B739,B704)),IF('User Interface'!$B$9=Options!$F$4,Calculations!$B667,Calculations!$B622))</f>
        <v>229.08147527512685</v>
      </c>
      <c r="C753" s="3" t="s">
        <v>32</v>
      </c>
    </row>
    <row r="754" spans="1:3">
      <c r="A754" t="s">
        <v>649</v>
      </c>
      <c r="B754" s="3">
        <f>IF('User Interface'!$B$8=Options!$E$4,"NA",IF('User Interface'!$B$9=Options!$F$4,Calculations!$B659,Calculations!$B614))</f>
        <v>300.02670336970385</v>
      </c>
      <c r="C754" s="41" t="s">
        <v>8</v>
      </c>
    </row>
    <row r="755" spans="1:3">
      <c r="A755" t="s">
        <v>653</v>
      </c>
      <c r="B755" s="3">
        <f>IF('User Interface'!$B$8=Options!$E$4,0,IF('User Interface'!$B$9=Options!$F$4,Calculations!$B660,Calculations!$B615))</f>
        <v>0</v>
      </c>
      <c r="C755" s="3" t="s">
        <v>38</v>
      </c>
    </row>
    <row r="756" spans="1:3">
      <c r="A756" t="s">
        <v>670</v>
      </c>
      <c r="B756" s="3">
        <f>IF('User Interface'!$B$8=Options!$E$4,0,IF('User Interface'!$B$9=Options!$F$4,Calculations!$B666,Calculations!$B621))</f>
        <v>0</v>
      </c>
      <c r="C756" s="3" t="s">
        <v>38</v>
      </c>
    </row>
    <row r="757" spans="1:3">
      <c r="A757" t="s">
        <v>1188</v>
      </c>
      <c r="B757" s="3">
        <f>Calculations!B753/Calculations!A63</f>
        <v>3.8180245879187806</v>
      </c>
      <c r="C757" s="3"/>
    </row>
    <row r="758" spans="1:3">
      <c r="B758" s="3">
        <v>0</v>
      </c>
      <c r="C758" s="3"/>
    </row>
    <row r="759" spans="1:3" s="30" customFormat="1">
      <c r="A759" s="30" t="s">
        <v>542</v>
      </c>
      <c r="B759" s="40">
        <v>0</v>
      </c>
      <c r="C759" s="40"/>
    </row>
    <row r="760" spans="1:3">
      <c r="A760" t="s">
        <v>593</v>
      </c>
      <c r="B760" s="4">
        <f>B41+A68</f>
        <v>285.12518922367201</v>
      </c>
      <c r="C760" s="41" t="s">
        <v>402</v>
      </c>
    </row>
    <row r="761" spans="1:3">
      <c r="A761" t="s">
        <v>591</v>
      </c>
      <c r="B761" s="4">
        <f>(B96^0.25)*B760</f>
        <v>269.65475522373055</v>
      </c>
      <c r="C761" s="41" t="s">
        <v>402</v>
      </c>
    </row>
    <row r="762" spans="1:3">
      <c r="A762" t="s">
        <v>572</v>
      </c>
      <c r="B762" s="3">
        <f>B120+A68</f>
        <v>244.95</v>
      </c>
      <c r="C762" s="41" t="s">
        <v>402</v>
      </c>
    </row>
    <row r="763" spans="1:3">
      <c r="A763" t="s">
        <v>595</v>
      </c>
      <c r="B763" s="3">
        <f>(Z242*1000*$A$62)/($A$64*$A$62)</f>
        <v>199.20561082836957</v>
      </c>
      <c r="C763" s="41" t="s">
        <v>575</v>
      </c>
    </row>
    <row r="764" spans="1:3">
      <c r="A764" t="s">
        <v>612</v>
      </c>
      <c r="B764" s="3">
        <v>1</v>
      </c>
      <c r="C764" s="41" t="s">
        <v>575</v>
      </c>
    </row>
    <row r="765" spans="1:3">
      <c r="A765" t="s">
        <v>615</v>
      </c>
      <c r="B765" s="3">
        <f>B88*B69*((B781^4)-(B761^4))</f>
        <v>29.104889323426683</v>
      </c>
      <c r="C765" s="41" t="s">
        <v>575</v>
      </c>
    </row>
    <row r="766" spans="1:3">
      <c r="A766" t="s">
        <v>558</v>
      </c>
      <c r="B766" s="3">
        <f>IF('User Interface'!$B$8=Options!$E$4,(CE242*A51*1000)/A62,(BN242*A51*1000)/A62)</f>
        <v>25.413425503369933</v>
      </c>
      <c r="C766" s="41" t="s">
        <v>560</v>
      </c>
    </row>
    <row r="767" spans="1:3">
      <c r="A767" t="s">
        <v>557</v>
      </c>
      <c r="B767" s="49">
        <f>(B766*B770)/B93</f>
        <v>11171107.359383065</v>
      </c>
      <c r="C767" s="48" t="s">
        <v>563</v>
      </c>
    </row>
    <row r="768" spans="1:3">
      <c r="A768" t="s">
        <v>600</v>
      </c>
      <c r="B768" s="3">
        <f>(B97/B770)*0.037*(B767^(4/5))*(B95^(1/5))</f>
        <v>56.588231593772214</v>
      </c>
      <c r="C768" s="41" t="s">
        <v>565</v>
      </c>
    </row>
    <row r="769" spans="1:3">
      <c r="A769" t="s">
        <v>614</v>
      </c>
      <c r="B769" s="3">
        <f>B768*(B760-B781)</f>
        <v>479.62874966143983</v>
      </c>
      <c r="C769" s="41" t="s">
        <v>575</v>
      </c>
    </row>
    <row r="770" spans="1:3">
      <c r="A770" t="s">
        <v>561</v>
      </c>
      <c r="B770" s="4">
        <f>B572</f>
        <v>6.62</v>
      </c>
      <c r="C770" s="41" t="s">
        <v>36</v>
      </c>
    </row>
    <row r="771" spans="1:3">
      <c r="A771" t="s">
        <v>569</v>
      </c>
      <c r="B771" s="1">
        <f>B573</f>
        <v>1.2450000000000001</v>
      </c>
      <c r="C771" s="41" t="s">
        <v>36</v>
      </c>
    </row>
    <row r="772" spans="1:3">
      <c r="A772" t="s">
        <v>597</v>
      </c>
      <c r="B772" s="1">
        <f>B575</f>
        <v>3.1749999999999999E-3</v>
      </c>
      <c r="C772" s="41" t="s">
        <v>36</v>
      </c>
    </row>
    <row r="773" spans="1:3">
      <c r="A773" t="s">
        <v>570</v>
      </c>
      <c r="B773" s="1">
        <f>B577</f>
        <v>0.127</v>
      </c>
      <c r="C773" s="41" t="s">
        <v>36</v>
      </c>
    </row>
    <row r="774" spans="1:3">
      <c r="A774" t="s">
        <v>596</v>
      </c>
      <c r="B774" s="1">
        <f>B578</f>
        <v>1.9989800000000002E-2</v>
      </c>
      <c r="C774" s="41" t="s">
        <v>36</v>
      </c>
    </row>
    <row r="775" spans="1:3">
      <c r="A775" t="s">
        <v>601</v>
      </c>
      <c r="B775" s="4">
        <f>LN(B771/(B771-B772))/(2*PI()*B84*B770)</f>
        <v>1.4276522141452894E-6</v>
      </c>
      <c r="C775" s="41" t="s">
        <v>568</v>
      </c>
    </row>
    <row r="776" spans="1:3">
      <c r="A776" t="s">
        <v>602</v>
      </c>
      <c r="B776" s="4">
        <f>LN((B771-B772)/(B771-B772-B773))/(2*PI()*B576*B770)</f>
        <v>8.4224224839591119E-2</v>
      </c>
      <c r="C776" s="41" t="s">
        <v>568</v>
      </c>
    </row>
    <row r="777" spans="1:3">
      <c r="A777" t="s">
        <v>603</v>
      </c>
      <c r="B777" s="4">
        <f>LN((B771-B772-B773)/(B771-B772-B773-B774))/(2*PI()*B86*B770)</f>
        <v>3.0208172277692779E-5</v>
      </c>
      <c r="C777" s="41" t="s">
        <v>568</v>
      </c>
    </row>
    <row r="778" spans="1:3">
      <c r="A778" t="s">
        <v>620</v>
      </c>
      <c r="B778" s="4">
        <f>SUM(B775:B777)</f>
        <v>8.4255860664082957E-2</v>
      </c>
      <c r="C778" s="41" t="s">
        <v>568</v>
      </c>
    </row>
    <row r="779" spans="1:3">
      <c r="A779" t="s">
        <v>619</v>
      </c>
      <c r="B779" s="3">
        <v>451.52386033801372</v>
      </c>
      <c r="C779" s="41" t="s">
        <v>575</v>
      </c>
    </row>
    <row r="780" spans="1:3">
      <c r="A780" t="s">
        <v>616</v>
      </c>
      <c r="B780" s="3">
        <f>B764-B765+B769-B779</f>
        <v>-5.6843418860808015E-13</v>
      </c>
      <c r="C780" s="41" t="s">
        <v>575</v>
      </c>
    </row>
    <row r="781" spans="1:3">
      <c r="A781" t="s">
        <v>611</v>
      </c>
      <c r="B781" s="3">
        <v>276.64942074402535</v>
      </c>
      <c r="C781" s="41" t="s">
        <v>402</v>
      </c>
    </row>
    <row r="782" spans="1:3">
      <c r="A782" t="s">
        <v>573</v>
      </c>
      <c r="B782" s="3">
        <f>B781/B778</f>
        <v>3283.4442442762556</v>
      </c>
      <c r="C782" s="41" t="s">
        <v>574</v>
      </c>
    </row>
    <row r="783" spans="1:3">
      <c r="A783" s="3" t="s">
        <v>1108</v>
      </c>
      <c r="B783" s="3">
        <f>B98</f>
        <v>938.26947552447996</v>
      </c>
      <c r="C783" s="41" t="s">
        <v>581</v>
      </c>
    </row>
    <row r="784" spans="1:3">
      <c r="A784" t="s">
        <v>7</v>
      </c>
      <c r="B784" s="3">
        <f>B564*1000</f>
        <v>22725.892457964925</v>
      </c>
      <c r="C784" s="41" t="s">
        <v>44</v>
      </c>
    </row>
    <row r="785" spans="1:4">
      <c r="A785" t="s">
        <v>583</v>
      </c>
      <c r="B785" s="13">
        <f>B782/(B783*B784)</f>
        <v>1.5398595507386422E-4</v>
      </c>
      <c r="C785" s="41" t="s">
        <v>582</v>
      </c>
    </row>
    <row r="786" spans="1:4">
      <c r="B786" s="1">
        <f>B785*A62</f>
        <v>0.55434943826591121</v>
      </c>
      <c r="C786" s="41" t="s">
        <v>621</v>
      </c>
    </row>
    <row r="787" spans="1:4">
      <c r="A787" t="s">
        <v>588</v>
      </c>
      <c r="B787" s="4">
        <f>B118+(B107/A66)</f>
        <v>16.172106620333981</v>
      </c>
      <c r="C787" s="41" t="s">
        <v>72</v>
      </c>
    </row>
    <row r="788" spans="1:4">
      <c r="A788" t="s">
        <v>589</v>
      </c>
      <c r="B788" s="3">
        <f>((((B787*B762)/B118)-B762)/B785)/(A62)</f>
        <v>34.527862371301879</v>
      </c>
      <c r="C788" s="41" t="s">
        <v>10</v>
      </c>
    </row>
    <row r="789" spans="1:4">
      <c r="B789" s="4">
        <f>B788/A64</f>
        <v>1.4386609321375783</v>
      </c>
      <c r="C789" s="41" t="s">
        <v>73</v>
      </c>
    </row>
    <row r="790" spans="1:4">
      <c r="A790" t="s">
        <v>608</v>
      </c>
      <c r="B790" s="5">
        <f>(B782/(B99*1000))*(B100/1000)*A62</f>
        <v>31.719753163833744</v>
      </c>
      <c r="C790" s="41" t="s">
        <v>35</v>
      </c>
      <c r="D790" s="11"/>
    </row>
    <row r="791" spans="1:4">
      <c r="B791" s="12"/>
      <c r="C791" s="206"/>
    </row>
    <row r="792" spans="1:4">
      <c r="A792" t="s">
        <v>377</v>
      </c>
      <c r="B792" s="5"/>
      <c r="C792" s="41"/>
    </row>
    <row r="793" spans="1:4">
      <c r="A793" t="s">
        <v>681</v>
      </c>
      <c r="B793" s="3">
        <f>MIN((IF((B753/$A$63)&lt;$B$788,0,(((B753/$A$63)-$B$788)*$B$790))),($B$563*1000))</f>
        <v>0</v>
      </c>
      <c r="C793" s="41" t="s">
        <v>1014</v>
      </c>
    </row>
    <row r="794" spans="1:4">
      <c r="B794" s="3">
        <f>(B793/1000)*B745</f>
        <v>0</v>
      </c>
      <c r="C794" s="41" t="s">
        <v>43</v>
      </c>
    </row>
    <row r="795" spans="1:4">
      <c r="B795" s="3"/>
      <c r="C795" s="41"/>
    </row>
    <row r="796" spans="1:4" s="30" customFormat="1">
      <c r="A796" s="30" t="s">
        <v>454</v>
      </c>
    </row>
    <row r="797" spans="1:4" s="19" customFormat="1">
      <c r="A797" s="81" t="s">
        <v>882</v>
      </c>
    </row>
    <row r="798" spans="1:4">
      <c r="A798" t="s">
        <v>63</v>
      </c>
      <c r="B798" t="s">
        <v>452</v>
      </c>
      <c r="C798" t="s">
        <v>453</v>
      </c>
    </row>
    <row r="799" spans="1:4">
      <c r="A799">
        <v>2024</v>
      </c>
      <c r="B799" s="16">
        <f>(AVERAGE(76.2,80.9,80.4)*$A$49)/($B$78*1000)</f>
        <v>6.9970048866611805E-3</v>
      </c>
      <c r="C799" s="16">
        <f>(AVERAGE(68,73.5,70.7)*$A$49)/($B$78*1000)</f>
        <v>6.2516397345242208E-3</v>
      </c>
      <c r="D799" t="s">
        <v>455</v>
      </c>
    </row>
    <row r="800" spans="1:4">
      <c r="A800">
        <v>2025</v>
      </c>
      <c r="B800" s="16">
        <f>B799</f>
        <v>6.9970048866611805E-3</v>
      </c>
      <c r="C800" s="16">
        <f>C799</f>
        <v>6.2516397345242208E-3</v>
      </c>
      <c r="D800" t="s">
        <v>455</v>
      </c>
    </row>
    <row r="801" spans="1:4">
      <c r="A801">
        <v>2026</v>
      </c>
      <c r="B801" s="16">
        <f>B799</f>
        <v>6.9970048866611805E-3</v>
      </c>
      <c r="C801" s="16">
        <f>C799</f>
        <v>6.2516397345242208E-3</v>
      </c>
      <c r="D801" t="s">
        <v>455</v>
      </c>
    </row>
    <row r="802" spans="1:4">
      <c r="A802">
        <v>2027</v>
      </c>
      <c r="B802" s="16">
        <f>(AVERAGE(73.4,78,75.7)*$A$49)/($B$78*1000)</f>
        <v>6.6906097253084393E-3</v>
      </c>
      <c r="C802" s="16">
        <f>(AVERAGE(64.1,69.6,64.3)*$A$49)/($B$78*1000)</f>
        <v>5.8332924949849006E-3</v>
      </c>
      <c r="D802" t="s">
        <v>455</v>
      </c>
    </row>
    <row r="803" spans="1:4">
      <c r="A803">
        <v>2028</v>
      </c>
      <c r="B803" s="16">
        <f>(AVERAGE(64.6,68.6,66.6)*$A$49)/($B$78*1000)</f>
        <v>5.8863224267574898E-3</v>
      </c>
      <c r="C803" s="16">
        <f>(AVERAGE(64.1,69.6,64.3)*$A$49)/($B$78*1000)</f>
        <v>5.8332924949849006E-3</v>
      </c>
      <c r="D803" t="s">
        <v>455</v>
      </c>
    </row>
    <row r="804" spans="1:4">
      <c r="A804">
        <v>2029</v>
      </c>
      <c r="B804" s="16">
        <f>(AVERAGE(62.4,66.3,64.3)*$A$49)/($B$78*1000)</f>
        <v>5.685987128949928E-3</v>
      </c>
      <c r="C804" s="16">
        <f>(AVERAGE(64.1,69.6,64.3)*$A$49)/($B$78*1000)</f>
        <v>5.8332924949849006E-3</v>
      </c>
      <c r="D804" t="s">
        <v>455</v>
      </c>
    </row>
    <row r="805" spans="1:4">
      <c r="A805">
        <v>2030</v>
      </c>
      <c r="B805" s="16">
        <f>(AVERAGE(58.7,62.4,60.6)*$A$49)/($B$78*1000)</f>
        <v>5.3530770017108905E-3</v>
      </c>
      <c r="C805" s="16">
        <f>(AVERAGE(57.7,62.6,57.9)*$A$49)/($B$78*1000)</f>
        <v>5.2499632454864106E-3</v>
      </c>
      <c r="D805" t="s">
        <v>455</v>
      </c>
    </row>
    <row r="806" spans="1:4">
      <c r="A806">
        <v>2031</v>
      </c>
      <c r="B806" s="16">
        <f>(AVERAGE(51.4,54.6,53)*$A$49)/($B$78*1000)</f>
        <v>4.6843106399121169E-3</v>
      </c>
      <c r="C806" s="16">
        <f>(AVERAGE(51.3,55.7,51.4)*$A$49)/($B$78*1000)</f>
        <v>4.6666339959879205E-3</v>
      </c>
      <c r="D806" t="s">
        <v>455</v>
      </c>
    </row>
    <row r="807" spans="1:4">
      <c r="A807">
        <v>2032</v>
      </c>
      <c r="B807" s="16">
        <f>(AVERAGE(48.4,51.5,50)*$A$49)/($B$78*1000)</f>
        <v>4.4162148737284671E-3</v>
      </c>
      <c r="C807" s="16">
        <f>(AVERAGE(48.1,52.2,48.2)*$A$49)/($B$78*1000)</f>
        <v>4.3749693712386755E-3</v>
      </c>
      <c r="D807" t="s">
        <v>455</v>
      </c>
    </row>
    <row r="809" spans="1:4">
      <c r="A809" t="s">
        <v>457</v>
      </c>
      <c r="B809">
        <v>2032</v>
      </c>
    </row>
    <row r="810" spans="1:4">
      <c r="A810" t="s">
        <v>391</v>
      </c>
      <c r="B810">
        <f>$B$11+$B$12</f>
        <v>2026</v>
      </c>
    </row>
    <row r="811" spans="1:4">
      <c r="A811" t="s">
        <v>458</v>
      </c>
      <c r="B811" t="str">
        <f>IF(B810&gt;=B809,"Yes","No")</f>
        <v>No</v>
      </c>
    </row>
    <row r="812" spans="1:4">
      <c r="A812" t="s">
        <v>461</v>
      </c>
      <c r="B812">
        <f>B9</f>
        <v>30</v>
      </c>
    </row>
    <row r="813" spans="1:4">
      <c r="A813" t="s">
        <v>392</v>
      </c>
      <c r="B813">
        <f>B810+B812-1</f>
        <v>2055</v>
      </c>
    </row>
    <row r="814" spans="1:4">
      <c r="A814" t="s">
        <v>459</v>
      </c>
      <c r="B814" t="str">
        <f>IF(B813&gt;=B809,"Yes","No")</f>
        <v>Yes</v>
      </c>
    </row>
    <row r="815" spans="1:4">
      <c r="A815" t="s">
        <v>460</v>
      </c>
      <c r="B815" s="3">
        <f>IF(B813-B809&lt;0,0,B813-B809)</f>
        <v>23</v>
      </c>
    </row>
    <row r="816" spans="1:4">
      <c r="A816" t="s">
        <v>397</v>
      </c>
      <c r="B816" s="15">
        <f>IF(B811="Yes",0,IF(B814="No",1,(B809-B810)/(B813-B810)))</f>
        <v>0.20689655172413793</v>
      </c>
    </row>
    <row r="817" spans="1:4">
      <c r="A817" t="s">
        <v>462</v>
      </c>
      <c r="B817" s="16">
        <f>IF($B$811="Yes",B807,IF($B$814="Yes",((SUMIF($A$799:$A$807,"&gt;="&amp;$B$810,B$799:B$807))+(B$807*$B$815))/$B$812,SUMIFS(B$799:B$807,$A$799:$A$807,"&gt;="&amp;$B$810,$A$799:$A$807,"&lt;="&amp;$B$813)/$B$812))</f>
        <v>4.7095489592927755E-3</v>
      </c>
      <c r="C817" s="16">
        <f>IF($B$811="Yes",C807,IF($B$814="Yes",((SUMIF($A$799:$A$807,"&gt;="&amp;$B$810,C$799:C$807))+(C$807*$B$815))/$B$812,SUMIFS(C$799:C$807,$A$799:$A$807,"&gt;="&amp;$B$810,$A$799:$A$807,"&lt;="&amp;$B$813)/$B$812))</f>
        <v>4.6222459790227158E-3</v>
      </c>
      <c r="D817" t="s">
        <v>455</v>
      </c>
    </row>
    <row r="818" spans="1:4">
      <c r="A818" t="s">
        <v>895</v>
      </c>
      <c r="B818" s="3">
        <f>B817*$B$18*$B$20</f>
        <v>19.225962131176789</v>
      </c>
      <c r="C818" s="3">
        <f>C817*$B$18*$B$20</f>
        <v>18.869562015768903</v>
      </c>
      <c r="D818" s="41" t="s">
        <v>1015</v>
      </c>
    </row>
    <row r="819" spans="1:4">
      <c r="A819" t="s">
        <v>896</v>
      </c>
      <c r="B819" s="3">
        <f>B817*$B$19*$B$20</f>
        <v>8.5230918137359666</v>
      </c>
      <c r="C819" s="3">
        <f>C817*$B$19*$B$20</f>
        <v>8.3650955124158006</v>
      </c>
      <c r="D819" s="41" t="s">
        <v>1015</v>
      </c>
    </row>
    <row r="820" spans="1:4">
      <c r="B820" s="16"/>
      <c r="C820" s="16"/>
    </row>
    <row r="821" spans="1:4">
      <c r="A821" s="81" t="s">
        <v>994</v>
      </c>
    </row>
    <row r="822" spans="1:4">
      <c r="A822" s="19" t="s">
        <v>47</v>
      </c>
    </row>
    <row r="823" spans="1:4">
      <c r="A823" s="19" t="s">
        <v>998</v>
      </c>
      <c r="B823">
        <v>2022</v>
      </c>
    </row>
    <row r="824" spans="1:4">
      <c r="A824" t="s">
        <v>995</v>
      </c>
      <c r="B824" s="16">
        <v>0</v>
      </c>
      <c r="C824" s="16"/>
    </row>
    <row r="825" spans="1:4">
      <c r="A825" s="17" t="s">
        <v>885</v>
      </c>
      <c r="B825" s="5">
        <v>7.27</v>
      </c>
      <c r="C825" s="16" t="s">
        <v>880</v>
      </c>
    </row>
    <row r="826" spans="1:4">
      <c r="A826" s="17" t="s">
        <v>886</v>
      </c>
      <c r="B826" s="5">
        <v>6.99</v>
      </c>
      <c r="C826" s="16" t="s">
        <v>880</v>
      </c>
    </row>
    <row r="827" spans="1:4">
      <c r="A827" s="17" t="s">
        <v>887</v>
      </c>
      <c r="B827" s="5">
        <v>6.98</v>
      </c>
      <c r="C827" s="16" t="s">
        <v>880</v>
      </c>
    </row>
    <row r="828" spans="1:4">
      <c r="A828" s="17" t="s">
        <v>888</v>
      </c>
      <c r="B828" s="5">
        <v>7.1</v>
      </c>
      <c r="C828" s="16" t="s">
        <v>880</v>
      </c>
    </row>
    <row r="829" spans="1:4">
      <c r="A829" s="17" t="s">
        <v>889</v>
      </c>
      <c r="B829" s="5">
        <v>6.47</v>
      </c>
      <c r="C829" s="16" t="s">
        <v>880</v>
      </c>
    </row>
    <row r="830" spans="1:4">
      <c r="A830" s="17" t="s">
        <v>890</v>
      </c>
      <c r="B830" s="5">
        <v>5.27</v>
      </c>
      <c r="C830" s="16" t="s">
        <v>880</v>
      </c>
    </row>
    <row r="831" spans="1:4">
      <c r="A831" s="17"/>
      <c r="B831" s="5"/>
      <c r="C831" s="16"/>
    </row>
    <row r="832" spans="1:4">
      <c r="A832" s="17" t="s">
        <v>892</v>
      </c>
      <c r="B832" s="16"/>
      <c r="C832" s="16"/>
    </row>
    <row r="833" spans="1:4">
      <c r="A833" s="17" t="s">
        <v>893</v>
      </c>
      <c r="B833" s="5">
        <f>B830</f>
        <v>5.27</v>
      </c>
      <c r="C833" s="16" t="s">
        <v>880</v>
      </c>
      <c r="D833" s="16"/>
    </row>
    <row r="834" spans="1:4">
      <c r="A834" s="17"/>
      <c r="B834" s="3">
        <f>$B$20/B833</f>
        <v>18.975332068311197</v>
      </c>
      <c r="C834" s="41" t="s">
        <v>1015</v>
      </c>
      <c r="D834" s="16"/>
    </row>
    <row r="835" spans="1:4">
      <c r="A835" s="17" t="s">
        <v>894</v>
      </c>
      <c r="B835" s="5">
        <f>B826</f>
        <v>6.99</v>
      </c>
      <c r="C835" s="16" t="s">
        <v>880</v>
      </c>
    </row>
    <row r="836" spans="1:4">
      <c r="A836" s="17"/>
      <c r="B836" s="3">
        <f>$B$20/B835</f>
        <v>14.306151645207439</v>
      </c>
      <c r="C836" s="41" t="s">
        <v>1015</v>
      </c>
    </row>
    <row r="837" spans="1:4">
      <c r="A837" s="17" t="s">
        <v>365</v>
      </c>
      <c r="B837" s="3"/>
      <c r="C837" s="16"/>
    </row>
    <row r="838" spans="1:4">
      <c r="A838" s="19" t="s">
        <v>998</v>
      </c>
      <c r="B838">
        <v>2020</v>
      </c>
      <c r="C838" s="16"/>
    </row>
    <row r="839" spans="1:4">
      <c r="A839" s="17" t="s">
        <v>1001</v>
      </c>
      <c r="B839" s="1">
        <f>B19/B18</f>
        <v>0.44331158854801517</v>
      </c>
      <c r="C839" s="84" t="s">
        <v>563</v>
      </c>
    </row>
    <row r="840" spans="1:4">
      <c r="A840" s="17" t="s">
        <v>1002</v>
      </c>
      <c r="B840" s="1">
        <v>2.2653556821657849E-3</v>
      </c>
      <c r="C840" s="84" t="s">
        <v>455</v>
      </c>
    </row>
    <row r="841" spans="1:4">
      <c r="A841" s="17" t="s">
        <v>893</v>
      </c>
      <c r="B841" s="1">
        <f>B840*(B18/B17)</f>
        <v>4.0693422668116293E-3</v>
      </c>
      <c r="C841" s="84" t="s">
        <v>455</v>
      </c>
    </row>
    <row r="842" spans="1:4">
      <c r="A842" s="17" t="s">
        <v>894</v>
      </c>
      <c r="B842" s="1">
        <f>B841*B839</f>
        <v>1.8039865846458444E-3</v>
      </c>
      <c r="C842" s="84" t="s">
        <v>455</v>
      </c>
    </row>
    <row r="843" spans="1:4">
      <c r="A843" s="17" t="s">
        <v>1172</v>
      </c>
      <c r="B843" s="3">
        <f>B112</f>
        <v>73</v>
      </c>
      <c r="C843" t="s">
        <v>38</v>
      </c>
    </row>
    <row r="844" spans="1:4">
      <c r="A844" s="17" t="s">
        <v>962</v>
      </c>
      <c r="B844" s="3">
        <f>IF('User Interface'!$B$9=Options!$F$4,$B$728,$B$693)</f>
        <v>14</v>
      </c>
    </row>
    <row r="845" spans="1:4">
      <c r="A845" s="17" t="s">
        <v>1173</v>
      </c>
      <c r="B845" s="4">
        <f>IF(B844&lt;$B$112,$B$112/B843,B844/B843)</f>
        <v>1</v>
      </c>
    </row>
    <row r="846" spans="1:4">
      <c r="A846" t="s">
        <v>1175</v>
      </c>
      <c r="B846" s="5">
        <f>IF(B845&lt;=1,(-4.325*B845)+5.325,0.9225*(B845^(-1.8205)))</f>
        <v>1</v>
      </c>
    </row>
    <row r="847" spans="1:4">
      <c r="A847" s="17" t="s">
        <v>893</v>
      </c>
      <c r="B847" s="3">
        <f>B841*$B$846*$B$18*$B$20</f>
        <v>16.612423184632572</v>
      </c>
      <c r="C847" s="41" t="s">
        <v>1015</v>
      </c>
    </row>
    <row r="848" spans="1:4">
      <c r="A848" s="17" t="s">
        <v>894</v>
      </c>
      <c r="B848" s="3">
        <f>B842*$B$846*$B$19*$B$20</f>
        <v>3.264759199784053</v>
      </c>
      <c r="C848" s="41" t="s">
        <v>1015</v>
      </c>
    </row>
    <row r="849" spans="1:3">
      <c r="B849" s="16"/>
      <c r="C849" s="16"/>
    </row>
    <row r="850" spans="1:3">
      <c r="A850" s="81" t="s">
        <v>891</v>
      </c>
    </row>
    <row r="851" spans="1:3">
      <c r="A851" t="s">
        <v>47</v>
      </c>
    </row>
    <row r="852" spans="1:3">
      <c r="A852" t="s">
        <v>997</v>
      </c>
      <c r="B852" s="5">
        <v>5.6678571428571418E-2</v>
      </c>
      <c r="C852" t="s">
        <v>996</v>
      </c>
    </row>
    <row r="853" spans="1:3">
      <c r="A853" t="s">
        <v>841</v>
      </c>
      <c r="B853" s="16">
        <v>-107.9320714285714</v>
      </c>
    </row>
    <row r="854" spans="1:3">
      <c r="A854" t="s">
        <v>391</v>
      </c>
      <c r="B854">
        <f>$B$11+$B$12</f>
        <v>2026</v>
      </c>
    </row>
    <row r="855" spans="1:3">
      <c r="A855" t="s">
        <v>999</v>
      </c>
      <c r="B855" s="5">
        <f>$B$833+($B$852*(B854-$B$823))</f>
        <v>5.496714285714285</v>
      </c>
      <c r="C855" s="16" t="s">
        <v>880</v>
      </c>
    </row>
    <row r="856" spans="1:3">
      <c r="A856" t="s">
        <v>1000</v>
      </c>
      <c r="B856" s="5">
        <f>$B$835+($B$852*(B854-$B$823))</f>
        <v>7.2167142857142856</v>
      </c>
      <c r="C856" t="s">
        <v>880</v>
      </c>
    </row>
    <row r="857" spans="1:3">
      <c r="A857" t="s">
        <v>461</v>
      </c>
      <c r="B857">
        <f>$B$9</f>
        <v>30</v>
      </c>
      <c r="C857" s="16" t="s">
        <v>9</v>
      </c>
    </row>
    <row r="858" spans="1:3">
      <c r="A858" t="s">
        <v>392</v>
      </c>
      <c r="B858">
        <f>B854+B857-1</f>
        <v>2055</v>
      </c>
      <c r="C858" s="16"/>
    </row>
    <row r="859" spans="1:3">
      <c r="A859" t="s">
        <v>999</v>
      </c>
      <c r="B859" s="5">
        <f>$B$833+($B$852*(B858-$B$823))</f>
        <v>7.1403928571428565</v>
      </c>
      <c r="C859" s="16" t="s">
        <v>880</v>
      </c>
    </row>
    <row r="860" spans="1:3">
      <c r="A860" t="s">
        <v>1000</v>
      </c>
      <c r="B860" s="5">
        <f>$B$835+($B$852*(B858-$B$823))</f>
        <v>8.8603928571428572</v>
      </c>
      <c r="C860" t="s">
        <v>880</v>
      </c>
    </row>
    <row r="861" spans="1:3">
      <c r="A861" t="s">
        <v>892</v>
      </c>
    </row>
    <row r="862" spans="1:3">
      <c r="A862" s="17" t="s">
        <v>893</v>
      </c>
      <c r="B862" s="5">
        <f>AVERAGE(B859,B855)</f>
        <v>6.3185535714285708</v>
      </c>
      <c r="C862" s="41" t="s">
        <v>880</v>
      </c>
    </row>
    <row r="863" spans="1:3">
      <c r="A863" s="17"/>
      <c r="B863" s="3">
        <f>$B$20/B862</f>
        <v>15.826406925183489</v>
      </c>
      <c r="C863" s="41" t="s">
        <v>1015</v>
      </c>
    </row>
    <row r="864" spans="1:3">
      <c r="A864" s="17" t="s">
        <v>894</v>
      </c>
      <c r="B864" s="5">
        <f>AVERAGE(B860,B856)</f>
        <v>8.0385535714285723</v>
      </c>
      <c r="C864" s="41" t="s">
        <v>880</v>
      </c>
    </row>
    <row r="865" spans="1:3">
      <c r="A865" s="17"/>
      <c r="B865" s="3">
        <f>$B$20/B864</f>
        <v>12.440048960478407</v>
      </c>
      <c r="C865" s="41" t="s">
        <v>1015</v>
      </c>
    </row>
    <row r="867" spans="1:3">
      <c r="A867" s="16" t="s">
        <v>365</v>
      </c>
      <c r="C867" s="16"/>
    </row>
    <row r="868" spans="1:3">
      <c r="A868" t="s">
        <v>1003</v>
      </c>
      <c r="B868" s="36">
        <f>-0.0358/5</f>
        <v>-7.1599999999999997E-3</v>
      </c>
    </row>
    <row r="869" spans="1:3">
      <c r="A869" t="s">
        <v>841</v>
      </c>
      <c r="B869" s="16">
        <v>3.7165357972319582E-2</v>
      </c>
    </row>
    <row r="870" spans="1:3">
      <c r="A870" t="s">
        <v>391</v>
      </c>
      <c r="B870">
        <f>$B$11+$B$12</f>
        <v>2026</v>
      </c>
    </row>
    <row r="871" spans="1:3">
      <c r="A871" t="s">
        <v>999</v>
      </c>
      <c r="B871" s="16">
        <f>$B$841*(1+((B870-$B$838)*$B$868))</f>
        <v>3.8945233230294018E-3</v>
      </c>
      <c r="C871" t="s">
        <v>455</v>
      </c>
    </row>
    <row r="872" spans="1:3">
      <c r="A872" t="s">
        <v>1000</v>
      </c>
      <c r="B872" s="16">
        <f>$B$842*(1+((B870-$B$838)*$B$868))</f>
        <v>1.726487320969459E-3</v>
      </c>
      <c r="C872" t="s">
        <v>455</v>
      </c>
    </row>
    <row r="873" spans="1:3">
      <c r="A873" t="s">
        <v>461</v>
      </c>
      <c r="B873">
        <f>$B$9</f>
        <v>30</v>
      </c>
      <c r="C873" t="s">
        <v>9</v>
      </c>
    </row>
    <row r="874" spans="1:3">
      <c r="A874" t="s">
        <v>392</v>
      </c>
      <c r="B874">
        <f>B870+B873-1</f>
        <v>2055</v>
      </c>
    </row>
    <row r="875" spans="1:3">
      <c r="A875" t="s">
        <v>999</v>
      </c>
      <c r="B875" s="16">
        <f>$B$841*(1+((B874-$B$838)*$B$868))</f>
        <v>3.0495650947486353E-3</v>
      </c>
      <c r="C875" t="s">
        <v>455</v>
      </c>
    </row>
    <row r="876" spans="1:3">
      <c r="A876" t="s">
        <v>1000</v>
      </c>
      <c r="B876" s="16">
        <f>$B$842*(1+((B874-$B$838)*$B$868))</f>
        <v>1.3519075465335958E-3</v>
      </c>
      <c r="C876" t="s">
        <v>455</v>
      </c>
    </row>
    <row r="877" spans="1:3">
      <c r="A877" t="s">
        <v>892</v>
      </c>
    </row>
    <row r="878" spans="1:3">
      <c r="A878" s="17" t="s">
        <v>893</v>
      </c>
      <c r="B878" s="16">
        <f>AVERAGE(B875,B871)</f>
        <v>3.4720442088890186E-3</v>
      </c>
      <c r="C878" t="s">
        <v>455</v>
      </c>
    </row>
    <row r="879" spans="1:3">
      <c r="A879" s="17" t="s">
        <v>894</v>
      </c>
      <c r="B879" s="16">
        <f>AVERAGE(B876,B872)</f>
        <v>1.5391974337515273E-3</v>
      </c>
      <c r="C879" t="s">
        <v>455</v>
      </c>
    </row>
    <row r="880" spans="1:3">
      <c r="A880" s="17" t="s">
        <v>1172</v>
      </c>
      <c r="B880" s="3">
        <f>B112</f>
        <v>73</v>
      </c>
      <c r="C880" t="s">
        <v>38</v>
      </c>
    </row>
    <row r="881" spans="1:6">
      <c r="A881" s="17" t="s">
        <v>962</v>
      </c>
      <c r="B881" s="3">
        <f>IF('User Interface'!$B$9=Options!$F$4,$B$728,$B$693)</f>
        <v>14</v>
      </c>
    </row>
    <row r="882" spans="1:6">
      <c r="A882" s="17" t="s">
        <v>1173</v>
      </c>
      <c r="B882" s="4">
        <f>IF(B881&lt;$B$112,$B$112/B880,B881/B880)</f>
        <v>1</v>
      </c>
    </row>
    <row r="883" spans="1:6">
      <c r="A883" t="s">
        <v>1175</v>
      </c>
      <c r="B883" s="5">
        <f>IF(B882&lt;=1,(-4.325*B882)+5.325,0.9225*(B882^(-1.8205)))</f>
        <v>1</v>
      </c>
      <c r="D883" s="4"/>
      <c r="E883" s="16"/>
      <c r="F883" s="41"/>
    </row>
    <row r="884" spans="1:6">
      <c r="A884" s="17" t="s">
        <v>893</v>
      </c>
      <c r="B884" s="3">
        <f>B878*$B$883*$B$18*$B$20</f>
        <v>14.174051709592206</v>
      </c>
      <c r="C884" s="41" t="s">
        <v>1015</v>
      </c>
      <c r="D884" s="4"/>
      <c r="E884" s="16"/>
      <c r="F884" s="41"/>
    </row>
    <row r="885" spans="1:6">
      <c r="A885" s="17" t="s">
        <v>894</v>
      </c>
      <c r="B885" s="3">
        <f>B879*$B$883*$B$19*$B$20</f>
        <v>2.7855578444397495</v>
      </c>
      <c r="C885" s="41" t="s">
        <v>1015</v>
      </c>
      <c r="D885" s="3"/>
      <c r="E885" s="16"/>
      <c r="F885" s="41"/>
    </row>
    <row r="886" spans="1:6">
      <c r="A886" s="17"/>
      <c r="B886" s="3"/>
      <c r="C886" s="41"/>
      <c r="F886" s="41"/>
    </row>
    <row r="887" spans="1:6">
      <c r="A887" s="81" t="s">
        <v>377</v>
      </c>
      <c r="B887" s="3"/>
      <c r="C887" s="41"/>
      <c r="F887" s="41"/>
    </row>
    <row r="888" spans="1:6">
      <c r="A888" t="s">
        <v>682</v>
      </c>
      <c r="B888" s="3">
        <f>IF('User Interface'!$B$8=Options!$E$4,IF('User Interface'!$B$21=Options!$H$6,$B$884,$B$847),IF('User Interface'!$B$21=Options!$H$4,IF('User Interface'!$B$12=Options!$G$4,$B$818,$C$818),IF('User Interface'!$B$21=Options!$H$5,B834,B863)))</f>
        <v>15.826406925183489</v>
      </c>
      <c r="C888" s="41" t="s">
        <v>1015</v>
      </c>
      <c r="F888" s="41"/>
    </row>
    <row r="889" spans="1:6">
      <c r="A889" t="s">
        <v>683</v>
      </c>
      <c r="B889" s="3">
        <f>IF('User Interface'!$B$8=Options!$E$4,IF('User Interface'!$B$21=Options!$H$6,$B$885,$B$848),IF('User Interface'!$B$21=Options!$H$4,IF('User Interface'!$B$12=Options!$G$4,$B$819,$C$819),IF('User Interface'!$B$21=Options!$H$5,B836,B865)))</f>
        <v>12.440048960478407</v>
      </c>
      <c r="C889" s="41" t="s">
        <v>1015</v>
      </c>
      <c r="F889" s="41"/>
    </row>
    <row r="890" spans="1:6">
      <c r="A890" t="s">
        <v>684</v>
      </c>
      <c r="B890" s="3">
        <f>SUM(B888:B889)</f>
        <v>28.266455885661898</v>
      </c>
      <c r="C890" s="41" t="s">
        <v>1015</v>
      </c>
      <c r="F890" s="41"/>
    </row>
    <row r="891" spans="1:6">
      <c r="B891" s="3">
        <f>B890*B745</f>
        <v>373139.87916573719</v>
      </c>
      <c r="C891" s="41" t="s">
        <v>813</v>
      </c>
      <c r="F891" s="41"/>
    </row>
    <row r="892" spans="1:6">
      <c r="A892" t="s">
        <v>814</v>
      </c>
      <c r="B892" s="14">
        <f>IF('User Interface'!$B$8=Options!$E$4,0,B891*X242)</f>
        <v>1267919.9846769085</v>
      </c>
      <c r="C892" s="41" t="s">
        <v>3</v>
      </c>
      <c r="F892" s="41"/>
    </row>
    <row r="893" spans="1:6">
      <c r="A893" t="s">
        <v>685</v>
      </c>
      <c r="B893" s="3">
        <f>(B891*$B$78)/1000</f>
        <v>4653.7772890266142</v>
      </c>
      <c r="C893" s="41" t="s">
        <v>43</v>
      </c>
      <c r="F893" s="41"/>
    </row>
    <row r="894" spans="1:6">
      <c r="B894" s="3"/>
      <c r="C894" s="41"/>
      <c r="F894" s="41"/>
    </row>
    <row r="895" spans="1:6" s="30" customFormat="1">
      <c r="A895" s="30" t="s">
        <v>927</v>
      </c>
      <c r="B895" s="39"/>
      <c r="C895" s="40"/>
      <c r="F895" s="40"/>
    </row>
    <row r="896" spans="1:6">
      <c r="A896" t="s">
        <v>922</v>
      </c>
      <c r="B896" s="1">
        <v>0.46603897976779352</v>
      </c>
      <c r="F896" s="41"/>
    </row>
    <row r="897" spans="1:8">
      <c r="F897" s="41"/>
    </row>
    <row r="898" spans="1:8">
      <c r="B898" s="3" t="s">
        <v>923</v>
      </c>
      <c r="C898" s="3" t="s">
        <v>924</v>
      </c>
      <c r="D898" s="41" t="s">
        <v>925</v>
      </c>
      <c r="E898" s="41" t="s">
        <v>926</v>
      </c>
      <c r="F898" s="41" t="s">
        <v>937</v>
      </c>
      <c r="G898" s="41" t="s">
        <v>935</v>
      </c>
      <c r="H898" t="s">
        <v>931</v>
      </c>
    </row>
    <row r="899" spans="1:8">
      <c r="A899" t="s">
        <v>202</v>
      </c>
      <c r="B899" s="4">
        <v>23.907638875142855</v>
      </c>
      <c r="C899" s="41">
        <f t="shared" ref="C899:C906" si="58">B899*$B$896</f>
        <v>11.141891630028415</v>
      </c>
      <c r="D899" s="4">
        <v>1.1103745697973699</v>
      </c>
      <c r="E899" s="4">
        <f t="shared" ref="E899:E906" si="59">D899*$B$896</f>
        <v>0.51747783166846895</v>
      </c>
      <c r="F899" s="6">
        <v>0.1493238085238433</v>
      </c>
      <c r="G899" s="5">
        <v>1</v>
      </c>
      <c r="H899" s="14">
        <v>4028.2153231456896</v>
      </c>
    </row>
    <row r="900" spans="1:8">
      <c r="A900" t="s">
        <v>915</v>
      </c>
      <c r="B900" s="4">
        <v>25.203180212014122</v>
      </c>
      <c r="C900" s="41">
        <f t="shared" si="58"/>
        <v>11.745664392910903</v>
      </c>
      <c r="D900" s="4">
        <v>1.352941552061651</v>
      </c>
      <c r="E900" s="4">
        <f t="shared" si="59"/>
        <v>0.6305235006082669</v>
      </c>
      <c r="F900" s="6">
        <v>0.16177161495413875</v>
      </c>
      <c r="G900" s="5">
        <v>1.2966666853318201</v>
      </c>
      <c r="H900" s="14">
        <f t="shared" ref="H900:H906" si="60">$H$899*G900</f>
        <v>5223.2526108661677</v>
      </c>
    </row>
    <row r="901" spans="1:8">
      <c r="A901" t="s">
        <v>921</v>
      </c>
      <c r="B901" s="4">
        <v>25.183745583038874</v>
      </c>
      <c r="C901" s="41">
        <f t="shared" si="58"/>
        <v>11.736607098251113</v>
      </c>
      <c r="D901" s="4">
        <v>1.8259023123353046</v>
      </c>
      <c r="E901" s="4">
        <f t="shared" si="59"/>
        <v>0.85094165079640038</v>
      </c>
      <c r="F901" s="6">
        <v>9.226202162185744E-2</v>
      </c>
      <c r="G901" s="5">
        <v>1.3255069967156194</v>
      </c>
      <c r="H901" s="14">
        <f t="shared" si="60"/>
        <v>5339.4275951066811</v>
      </c>
    </row>
    <row r="902" spans="1:8">
      <c r="A902" t="s">
        <v>916</v>
      </c>
      <c r="B902" s="4">
        <v>23.518727915194361</v>
      </c>
      <c r="C902" s="41">
        <f t="shared" si="58"/>
        <v>10.960643963033506</v>
      </c>
      <c r="D902" s="4">
        <v>1.9240091325197504</v>
      </c>
      <c r="E902" s="4">
        <f t="shared" si="59"/>
        <v>0.89666325318342188</v>
      </c>
      <c r="F902" s="6">
        <v>0.12617110418812871</v>
      </c>
      <c r="G902" s="5">
        <v>1.2766986592045442</v>
      </c>
      <c r="H902" s="14">
        <f t="shared" si="60"/>
        <v>5142.8171020473019</v>
      </c>
    </row>
    <row r="903" spans="1:8">
      <c r="A903" t="s">
        <v>920</v>
      </c>
      <c r="B903" s="4">
        <v>22.871378091872778</v>
      </c>
      <c r="C903" s="41">
        <f t="shared" si="58"/>
        <v>10.658953711819853</v>
      </c>
      <c r="D903" s="4">
        <v>1.3398927692675091</v>
      </c>
      <c r="E903" s="4">
        <f t="shared" si="59"/>
        <v>0.62444225918767349</v>
      </c>
      <c r="F903" s="6">
        <v>6.4971821169610464E-2</v>
      </c>
      <c r="G903" s="5">
        <v>0.45275375143485569</v>
      </c>
      <c r="H903" s="14">
        <f t="shared" si="60"/>
        <v>1823.7895991415805</v>
      </c>
    </row>
    <row r="904" spans="1:8">
      <c r="A904" t="s">
        <v>917</v>
      </c>
      <c r="B904" s="4">
        <v>26.458303886925822</v>
      </c>
      <c r="C904" s="41">
        <f t="shared" si="58"/>
        <v>12.330600949849156</v>
      </c>
      <c r="D904" s="4">
        <v>1.1268609287375861</v>
      </c>
      <c r="E904" s="4">
        <f t="shared" si="59"/>
        <v>0.52516111756905293</v>
      </c>
      <c r="F904" s="6">
        <v>9.2150636743814102E-2</v>
      </c>
      <c r="G904" s="5">
        <v>0.72511694104338509</v>
      </c>
      <c r="H904" s="14">
        <f t="shared" si="60"/>
        <v>2920.9271729834936</v>
      </c>
    </row>
    <row r="905" spans="1:8">
      <c r="A905" t="s">
        <v>918</v>
      </c>
      <c r="B905" s="4">
        <v>20.858657243816257</v>
      </c>
      <c r="C905" s="41">
        <f t="shared" si="58"/>
        <v>9.7209473412342238</v>
      </c>
      <c r="D905" s="4">
        <v>1.9862526548885846</v>
      </c>
      <c r="E905" s="4">
        <f t="shared" si="59"/>
        <v>0.92567116084534729</v>
      </c>
      <c r="F905" s="6">
        <v>9.8166150829199966E-2</v>
      </c>
      <c r="G905" s="5">
        <v>1.1916152797144295</v>
      </c>
      <c r="H905" s="14">
        <f t="shared" si="60"/>
        <v>4800.0829290402016</v>
      </c>
    </row>
    <row r="906" spans="1:8">
      <c r="A906" t="s">
        <v>919</v>
      </c>
      <c r="B906" s="4">
        <v>24.730388692579492</v>
      </c>
      <c r="C906" s="41">
        <f t="shared" si="58"/>
        <v>11.525325115550723</v>
      </c>
      <c r="D906" s="4">
        <v>1.1483856341379348</v>
      </c>
      <c r="E906" s="4">
        <f t="shared" si="59"/>
        <v>0.53519246931363373</v>
      </c>
      <c r="F906" s="6">
        <v>0.24130868012225648</v>
      </c>
      <c r="G906" s="5">
        <v>1.2017201047626154</v>
      </c>
      <c r="H906" s="14">
        <f t="shared" si="60"/>
        <v>4840.7873401370107</v>
      </c>
    </row>
    <row r="907" spans="1:8">
      <c r="B907" s="4"/>
      <c r="C907" s="41"/>
      <c r="D907" s="4"/>
      <c r="E907" s="4"/>
      <c r="F907" s="6"/>
      <c r="G907" s="5"/>
      <c r="H907" s="14"/>
    </row>
    <row r="908" spans="1:8">
      <c r="A908" t="s">
        <v>1037</v>
      </c>
      <c r="B908" s="201" t="str">
        <f>'User Interface'!$B$22</f>
        <v>NA</v>
      </c>
      <c r="C908" s="41"/>
      <c r="D908" s="4"/>
      <c r="E908" s="4"/>
      <c r="F908" s="6"/>
      <c r="G908" s="5"/>
      <c r="H908" s="14"/>
    </row>
    <row r="909" spans="1:8">
      <c r="A909" t="s">
        <v>1011</v>
      </c>
      <c r="B909" s="14" t="e">
        <f>$CG$242*(1-B908)</f>
        <v>#VALUE!</v>
      </c>
      <c r="C909" t="s">
        <v>1012</v>
      </c>
      <c r="D909" s="4"/>
      <c r="E909" s="4"/>
      <c r="F909" s="6"/>
      <c r="G909" s="5"/>
      <c r="H909" s="14"/>
    </row>
    <row r="910" spans="1:8">
      <c r="B910" s="14">
        <f>IF('User Interface'!$B$8=Options!$E$4,B909*$B$745,0)</f>
        <v>0</v>
      </c>
      <c r="C910" t="s">
        <v>3</v>
      </c>
      <c r="D910" s="4"/>
      <c r="E910" s="4"/>
      <c r="F910" s="6"/>
      <c r="G910" s="5"/>
      <c r="H910" s="14"/>
    </row>
    <row r="911" spans="1:8">
      <c r="A911" t="s">
        <v>1016</v>
      </c>
      <c r="B911" s="6">
        <f>$CH$242</f>
        <v>0.16730434757467819</v>
      </c>
      <c r="C911" s="41" t="s">
        <v>1013</v>
      </c>
      <c r="D911" s="4"/>
      <c r="E911" s="4"/>
      <c r="F911" s="6"/>
      <c r="G911" s="5"/>
      <c r="H911" s="14"/>
    </row>
    <row r="912" spans="1:8">
      <c r="B912" s="14">
        <f>IF('User Interface'!$B$8=Options!$E$4,B911*$B$745*$B$20,0)</f>
        <v>0</v>
      </c>
      <c r="C912" s="41" t="s">
        <v>3</v>
      </c>
      <c r="D912" s="4"/>
      <c r="E912" s="4"/>
      <c r="F912" s="6"/>
      <c r="G912" s="5"/>
      <c r="H912" s="14"/>
    </row>
    <row r="913" spans="1:6">
      <c r="B913" s="3"/>
      <c r="C913" s="41"/>
      <c r="F913" s="41"/>
    </row>
    <row r="914" spans="1:6" s="30" customFormat="1">
      <c r="A914" s="30" t="s">
        <v>541</v>
      </c>
    </row>
    <row r="915" spans="1:6">
      <c r="B915" t="s">
        <v>741</v>
      </c>
      <c r="C915" s="41" t="s">
        <v>742</v>
      </c>
      <c r="D915" t="s">
        <v>365</v>
      </c>
      <c r="E915" t="s">
        <v>1197</v>
      </c>
    </row>
    <row r="916" spans="1:6">
      <c r="A916" t="s">
        <v>532</v>
      </c>
    </row>
    <row r="917" spans="1:6">
      <c r="A917" t="s">
        <v>914</v>
      </c>
      <c r="B917" s="4">
        <f>B17</f>
        <v>22.725892457964925</v>
      </c>
      <c r="C917" s="4">
        <f>B17</f>
        <v>22.725892457964925</v>
      </c>
      <c r="D917" s="3">
        <f>B695</f>
        <v>1074.1365356797146</v>
      </c>
      <c r="F917" t="s">
        <v>2</v>
      </c>
    </row>
    <row r="918" spans="1:6">
      <c r="A918" t="s">
        <v>530</v>
      </c>
      <c r="B918" s="3">
        <v>2</v>
      </c>
      <c r="C918" s="3">
        <v>2</v>
      </c>
      <c r="D918">
        <v>1</v>
      </c>
      <c r="F918" s="17" t="s">
        <v>563</v>
      </c>
    </row>
    <row r="919" spans="1:6">
      <c r="A919" t="s">
        <v>302</v>
      </c>
      <c r="B919" s="3">
        <f>B917*B$918</f>
        <v>45.451784915929849</v>
      </c>
      <c r="C919" s="3">
        <f>C917*C$918</f>
        <v>45.451784915929849</v>
      </c>
      <c r="D919" s="3">
        <f>D917*D$918</f>
        <v>1074.1365356797146</v>
      </c>
      <c r="F919" t="s">
        <v>2</v>
      </c>
    </row>
    <row r="920" spans="1:6">
      <c r="A920" t="s">
        <v>531</v>
      </c>
      <c r="B920" s="4">
        <f>B919/$B$6</f>
        <v>1.3281011552434703</v>
      </c>
      <c r="C920" s="4">
        <f>C919/$B$6</f>
        <v>1.3281011552434703</v>
      </c>
      <c r="D920" s="4">
        <f>D919/$B$6</f>
        <v>31.386269572561261</v>
      </c>
      <c r="F920" t="s">
        <v>10</v>
      </c>
    </row>
    <row r="921" spans="1:6">
      <c r="A921" t="s">
        <v>533</v>
      </c>
    </row>
    <row r="922" spans="1:6">
      <c r="A922" t="s">
        <v>303</v>
      </c>
      <c r="B922" s="3">
        <f>B20</f>
        <v>100</v>
      </c>
      <c r="C922" s="3">
        <f>MIN(B20,B614)</f>
        <v>100</v>
      </c>
      <c r="D922" s="3">
        <f>B20</f>
        <v>100</v>
      </c>
      <c r="F922" t="s">
        <v>8</v>
      </c>
    </row>
    <row r="923" spans="1:6">
      <c r="A923" t="s">
        <v>308</v>
      </c>
      <c r="B923" s="4">
        <v>1.3</v>
      </c>
      <c r="C923" s="4">
        <v>1.3</v>
      </c>
      <c r="D923">
        <v>1</v>
      </c>
      <c r="F923" s="17" t="s">
        <v>563</v>
      </c>
    </row>
    <row r="924" spans="1:6">
      <c r="A924" t="s">
        <v>309</v>
      </c>
      <c r="B924" s="3">
        <f>B922*B923</f>
        <v>130</v>
      </c>
      <c r="C924" s="3">
        <f>C922*C923</f>
        <v>130</v>
      </c>
      <c r="D924" s="3">
        <f>D922*D923</f>
        <v>100</v>
      </c>
      <c r="F924" t="s">
        <v>8</v>
      </c>
    </row>
    <row r="925" spans="1:6">
      <c r="A925" t="s">
        <v>304</v>
      </c>
      <c r="B925" s="3">
        <f>BN242</f>
        <v>56.848355109629885</v>
      </c>
      <c r="C925" s="3">
        <f>BN242</f>
        <v>56.848355109629885</v>
      </c>
      <c r="D925" s="4">
        <f>CE242</f>
        <v>11.141891630028415</v>
      </c>
      <c r="F925" t="s">
        <v>305</v>
      </c>
    </row>
    <row r="926" spans="1:6">
      <c r="A926" t="s">
        <v>306</v>
      </c>
      <c r="B926" s="3">
        <v>6.3</v>
      </c>
      <c r="C926" s="3">
        <v>6.3</v>
      </c>
      <c r="D926" s="4">
        <f>CF242</f>
        <v>0.51747783166846895</v>
      </c>
      <c r="F926" t="s">
        <v>305</v>
      </c>
    </row>
    <row r="927" spans="1:6">
      <c r="A927" t="s">
        <v>307</v>
      </c>
      <c r="B927" s="3">
        <v>3</v>
      </c>
      <c r="C927" s="3">
        <v>3</v>
      </c>
      <c r="D927">
        <v>3</v>
      </c>
      <c r="F927" t="s">
        <v>301</v>
      </c>
    </row>
    <row r="928" spans="1:6">
      <c r="A928" t="s">
        <v>535</v>
      </c>
      <c r="B928" s="3">
        <f>B925-(B927*B926)</f>
        <v>37.948355109629887</v>
      </c>
      <c r="C928" s="3">
        <f>C925-(C927*C926)</f>
        <v>37.948355109629887</v>
      </c>
      <c r="D928" s="3">
        <f>D925-(D927*D926)</f>
        <v>9.5894581350230084</v>
      </c>
      <c r="F928" t="s">
        <v>305</v>
      </c>
    </row>
    <row r="929" spans="1:6">
      <c r="A929" t="s">
        <v>310</v>
      </c>
      <c r="B929" s="4">
        <f>B924/B928</f>
        <v>3.4257084299026919</v>
      </c>
      <c r="C929" s="4">
        <f>C924/C928</f>
        <v>3.4257084299026919</v>
      </c>
      <c r="D929" s="4">
        <f>(D924/D928)-(D924/D925)</f>
        <v>1.4529812396916704</v>
      </c>
      <c r="F929" t="s">
        <v>10</v>
      </c>
    </row>
    <row r="930" spans="1:6">
      <c r="A930" t="s">
        <v>531</v>
      </c>
      <c r="B930" s="4">
        <f>MAX(B920,B929)</f>
        <v>3.4257084299026919</v>
      </c>
      <c r="C930" s="4">
        <f>MAX(C920,C929)</f>
        <v>3.4257084299026919</v>
      </c>
      <c r="D930" s="4">
        <f>MAX(D920,D929)</f>
        <v>31.386269572561261</v>
      </c>
      <c r="E930">
        <f>IF('User Interface'!$B$13=Options!$AB$5,'User Interface'!$B$14,0)</f>
        <v>0</v>
      </c>
      <c r="F930" t="s">
        <v>10</v>
      </c>
    </row>
    <row r="931" spans="1:6">
      <c r="A931" t="s">
        <v>530</v>
      </c>
      <c r="B931" s="4">
        <v>1</v>
      </c>
      <c r="C931" s="4">
        <v>1</v>
      </c>
      <c r="D931" s="4">
        <v>1</v>
      </c>
      <c r="F931" s="17" t="s">
        <v>563</v>
      </c>
    </row>
    <row r="932" spans="1:6">
      <c r="A932" t="s">
        <v>537</v>
      </c>
      <c r="B932" s="3">
        <f>$B$6*B930*B931</f>
        <v>117.23848151617699</v>
      </c>
      <c r="C932" s="3">
        <f>$B$6*C930*C931</f>
        <v>117.23848151617699</v>
      </c>
      <c r="D932" s="3">
        <f>$B$6*D930*D931</f>
        <v>1074.1365356797146</v>
      </c>
      <c r="E932" s="3">
        <f>$B$6*E930</f>
        <v>0</v>
      </c>
      <c r="F932" t="s">
        <v>21</v>
      </c>
    </row>
    <row r="933" spans="1:6">
      <c r="A933" t="s">
        <v>708</v>
      </c>
    </row>
    <row r="934" spans="1:6">
      <c r="A934" t="s">
        <v>694</v>
      </c>
      <c r="B934" s="3">
        <f>(PI()*(B935^2)*B937)+((4/3)*PI()*(B935^3))</f>
        <v>110.0199622654699</v>
      </c>
      <c r="C934" s="3">
        <f>(PI()*(C935^2)*C937)+((4/3)*PI()*(C935^3))</f>
        <v>110.0199622654699</v>
      </c>
      <c r="D934" s="3">
        <f>(PI()*(D935^2)*D937)+((4/3)*PI()*(D935^3))</f>
        <v>110.0199622654699</v>
      </c>
      <c r="E934" s="3">
        <f>(PI()*(E935^2)*E937)+((4/3)*PI()*(E935^3))</f>
        <v>110.0199622654699</v>
      </c>
      <c r="F934" t="s">
        <v>28</v>
      </c>
    </row>
    <row r="935" spans="1:6">
      <c r="A935" t="s">
        <v>692</v>
      </c>
      <c r="B935" s="5">
        <v>1.55</v>
      </c>
      <c r="C935">
        <v>1.55</v>
      </c>
      <c r="D935">
        <v>1.55</v>
      </c>
      <c r="E935">
        <v>1.55</v>
      </c>
      <c r="F935" t="s">
        <v>36</v>
      </c>
    </row>
    <row r="936" spans="1:6">
      <c r="A936" t="s">
        <v>697</v>
      </c>
      <c r="B936" s="5">
        <f>B935*2</f>
        <v>3.1</v>
      </c>
      <c r="C936" s="5">
        <f>C935*2</f>
        <v>3.1</v>
      </c>
      <c r="D936" s="5">
        <f>D935*2</f>
        <v>3.1</v>
      </c>
      <c r="E936" s="5">
        <f>E935*2</f>
        <v>3.1</v>
      </c>
      <c r="F936" t="s">
        <v>36</v>
      </c>
    </row>
    <row r="937" spans="1:6">
      <c r="A937" t="s">
        <v>693</v>
      </c>
      <c r="B937" s="5">
        <v>12.51</v>
      </c>
      <c r="C937">
        <v>12.51</v>
      </c>
      <c r="D937">
        <v>12.51</v>
      </c>
      <c r="E937">
        <v>12.51</v>
      </c>
      <c r="F937" t="s">
        <v>36</v>
      </c>
    </row>
    <row r="938" spans="1:6">
      <c r="A938" t="s">
        <v>691</v>
      </c>
      <c r="B938" s="3">
        <f>B934*$B$104</f>
        <v>104.5189641521964</v>
      </c>
      <c r="C938" s="3">
        <f>C934*$B$104</f>
        <v>104.5189641521964</v>
      </c>
      <c r="D938" s="3">
        <f>D934*$B$104</f>
        <v>104.5189641521964</v>
      </c>
      <c r="E938" s="3">
        <f>E934*$B$104</f>
        <v>104.5189641521964</v>
      </c>
      <c r="F938" t="s">
        <v>28</v>
      </c>
    </row>
    <row r="939" spans="1:6">
      <c r="B939" s="3">
        <f>B938*($B$122/1000)</f>
        <v>108.90876064658866</v>
      </c>
      <c r="C939" s="3">
        <f>C938*($B$122/1000)</f>
        <v>108.90876064658866</v>
      </c>
      <c r="D939" s="3">
        <f>D938*($B$122/1000)</f>
        <v>108.90876064658866</v>
      </c>
      <c r="E939" s="3">
        <f>E938*($B$122/1000)</f>
        <v>108.90876064658866</v>
      </c>
      <c r="F939" t="s">
        <v>21</v>
      </c>
    </row>
    <row r="940" spans="1:6">
      <c r="A940" t="s">
        <v>695</v>
      </c>
      <c r="B940" s="3">
        <f>ROUNDUP(B932/B939,0)</f>
        <v>2</v>
      </c>
      <c r="C940" s="3">
        <f>ROUNDUP(C932/C939,0)</f>
        <v>2</v>
      </c>
      <c r="D940" s="3">
        <f>ROUNDUP(D932/D939,0)</f>
        <v>10</v>
      </c>
      <c r="E940" s="3">
        <f>ROUNDUP(E932/E939,0)</f>
        <v>0</v>
      </c>
      <c r="F940" t="s">
        <v>38</v>
      </c>
    </row>
    <row r="941" spans="1:6">
      <c r="A941" s="52" t="s">
        <v>89</v>
      </c>
      <c r="B941" s="53">
        <v>0.85</v>
      </c>
      <c r="C941" s="53">
        <v>0.85</v>
      </c>
      <c r="D941" s="52">
        <v>0.85</v>
      </c>
      <c r="E941" s="52">
        <v>0.85</v>
      </c>
      <c r="F941" s="17" t="s">
        <v>563</v>
      </c>
    </row>
    <row r="942" spans="1:6">
      <c r="A942" s="52" t="s">
        <v>90</v>
      </c>
      <c r="B942" s="54">
        <v>20000</v>
      </c>
      <c r="C942" s="54">
        <v>20000</v>
      </c>
      <c r="D942">
        <v>20000</v>
      </c>
      <c r="E942">
        <v>20000</v>
      </c>
      <c r="F942" s="52" t="s">
        <v>689</v>
      </c>
    </row>
    <row r="943" spans="1:6">
      <c r="A943" s="52"/>
      <c r="B943" s="54">
        <f>(B942/$A$66)/10</f>
        <v>137.89489650988017</v>
      </c>
      <c r="C943" s="54">
        <f>(C942/$A$66)/10</f>
        <v>137.89489650988017</v>
      </c>
      <c r="D943" s="54">
        <f>(D942/$A$66)/10</f>
        <v>137.89489650988017</v>
      </c>
      <c r="E943" s="54">
        <f>(E942/$A$66)/10</f>
        <v>137.89489650988017</v>
      </c>
      <c r="F943" s="52" t="s">
        <v>74</v>
      </c>
    </row>
    <row r="944" spans="1:6">
      <c r="A944" s="52" t="s">
        <v>897</v>
      </c>
      <c r="B944" s="56">
        <f>(1+$B$108)*$B$119</f>
        <v>1.6500000000000001</v>
      </c>
      <c r="C944" s="56">
        <f>(1+$B$108)*$B$119</f>
        <v>1.6500000000000001</v>
      </c>
      <c r="D944" s="56">
        <f>(1+$B$108)*$B$119</f>
        <v>1.6500000000000001</v>
      </c>
      <c r="E944" s="56">
        <f>(1+$B$108)*$B$119</f>
        <v>1.6500000000000001</v>
      </c>
      <c r="F944" s="52" t="s">
        <v>74</v>
      </c>
    </row>
    <row r="945" spans="1:6">
      <c r="A945" s="52" t="s">
        <v>88</v>
      </c>
      <c r="B945" s="55">
        <f>(B944*B936)/((2*B943*B941)-(1.2*B944))</f>
        <v>2.2005553532856794E-2</v>
      </c>
      <c r="C945" s="55">
        <f>(C944*C936)/((2*C943*C941)-(1.2*C944))</f>
        <v>2.2005553532856794E-2</v>
      </c>
      <c r="D945" s="55">
        <f>(D944*D936)/((2*D943*D941)-(1.2*D944))</f>
        <v>2.2005553532856794E-2</v>
      </c>
      <c r="E945" s="55">
        <f>(E944*E936)/((2*E943*E941)-(1.2*E944))</f>
        <v>2.2005553532856794E-2</v>
      </c>
      <c r="F945" s="52" t="s">
        <v>91</v>
      </c>
    </row>
    <row r="946" spans="1:6">
      <c r="A946" s="52" t="s">
        <v>92</v>
      </c>
      <c r="B946" s="55">
        <f>(B944*B936)/((4*B943*B941)+(0.8*B944))</f>
        <v>1.0879213864191564E-2</v>
      </c>
      <c r="C946" s="55">
        <f>(C944*C936)/((4*C943*C941)+(0.8*C944))</f>
        <v>1.0879213864191564E-2</v>
      </c>
      <c r="D946" s="55">
        <f>(D944*D936)/((4*D943*D941)+(0.8*D944))</f>
        <v>1.0879213864191564E-2</v>
      </c>
      <c r="E946" s="55">
        <f>(E944*E936)/((4*E943*E941)+(0.8*E944))</f>
        <v>1.0879213864191564E-2</v>
      </c>
      <c r="F946" s="52" t="s">
        <v>91</v>
      </c>
    </row>
    <row r="947" spans="1:6">
      <c r="A947" s="52" t="s">
        <v>698</v>
      </c>
      <c r="B947" s="1">
        <f t="shared" ref="B947" si="61">MAX(B945,B946)</f>
        <v>2.2005553532856794E-2</v>
      </c>
      <c r="C947" s="1">
        <f>MAX(C945,C946)</f>
        <v>2.2005553532856794E-2</v>
      </c>
      <c r="D947" s="1">
        <f>MAX(D945,D946)</f>
        <v>2.2005553532856794E-2</v>
      </c>
      <c r="E947" s="1">
        <f>MAX(E945,E946)</f>
        <v>2.2005553532856794E-2</v>
      </c>
      <c r="F947" s="52" t="s">
        <v>36</v>
      </c>
    </row>
    <row r="948" spans="1:6">
      <c r="A948" s="52" t="s">
        <v>699</v>
      </c>
      <c r="B948" s="4">
        <f>PI()*B937*(((B935+B947)^2)-(B935^2))</f>
        <v>2.7000583586459017</v>
      </c>
      <c r="C948" s="4">
        <f>PI()*C937*(((C935+C947)^2)-(C935^2))</f>
        <v>2.7000583586459017</v>
      </c>
      <c r="D948" s="4">
        <f>PI()*D937*(((D935+D947)^2)-(D935^2))</f>
        <v>2.7000583586459017</v>
      </c>
      <c r="E948" s="4">
        <f>PI()*E937*(((E935+E947)^2)-(E935^2))</f>
        <v>2.7000583586459017</v>
      </c>
      <c r="F948" s="52" t="s">
        <v>28</v>
      </c>
    </row>
    <row r="949" spans="1:6">
      <c r="A949" s="52" t="s">
        <v>700</v>
      </c>
      <c r="B949" s="3">
        <f>B948*$B$87</f>
        <v>21681.468619926593</v>
      </c>
      <c r="C949" s="3">
        <f>C948*$B$87</f>
        <v>21681.468619926593</v>
      </c>
      <c r="D949" s="3">
        <f>D948*$B$87</f>
        <v>21681.468619926593</v>
      </c>
      <c r="E949" s="3">
        <f>E948*$B$87</f>
        <v>21681.468619926593</v>
      </c>
      <c r="F949" s="52" t="s">
        <v>44</v>
      </c>
    </row>
    <row r="950" spans="1:6">
      <c r="A950" s="52" t="s">
        <v>726</v>
      </c>
      <c r="B950" s="3">
        <f>(((4/3)*PI()*(((B935+B947)^3)-(B935^3)))+B948)*$B$87</f>
        <v>27092.402786309653</v>
      </c>
      <c r="C950" s="3">
        <f>(((4/3)*PI()*(((C935+C947)^3)-(C935^3)))+C948)*$B$87</f>
        <v>27092.402786309653</v>
      </c>
      <c r="D950" s="3">
        <f>(((4/3)*PI()*(((D935+D947)^3)-(D935^3)))+D948)*$B$87</f>
        <v>27092.402786309653</v>
      </c>
      <c r="E950" s="3">
        <f>(((4/3)*PI()*(((E935+E947)^3)-(E935^3)))+E948)*$B$87</f>
        <v>27092.402786309653</v>
      </c>
      <c r="F950" s="52" t="s">
        <v>44</v>
      </c>
    </row>
    <row r="951" spans="1:6">
      <c r="A951" s="52" t="s">
        <v>703</v>
      </c>
      <c r="B951" s="4">
        <v>0.5</v>
      </c>
      <c r="C951" s="4">
        <v>0.5</v>
      </c>
      <c r="D951">
        <v>0.5</v>
      </c>
      <c r="E951">
        <v>0.5</v>
      </c>
      <c r="F951" s="52" t="s">
        <v>66</v>
      </c>
    </row>
    <row r="952" spans="1:6">
      <c r="B952" s="4">
        <f>B951*$A$52</f>
        <v>0.15240000000000001</v>
      </c>
      <c r="C952" s="4">
        <f>C951*$A$52</f>
        <v>0.15240000000000001</v>
      </c>
      <c r="D952" s="4">
        <f>D951*$A$52</f>
        <v>0.15240000000000001</v>
      </c>
      <c r="E952" s="4">
        <f>E951*$A$52</f>
        <v>0.15240000000000001</v>
      </c>
      <c r="F952" s="52" t="s">
        <v>36</v>
      </c>
    </row>
    <row r="953" spans="1:6">
      <c r="A953" s="52" t="s">
        <v>898</v>
      </c>
      <c r="B953" s="4">
        <f>(1+$B$108)*$B$44</f>
        <v>0.1114575</v>
      </c>
      <c r="C953" s="4">
        <f>(1+$B$108)*$B$44</f>
        <v>0.1114575</v>
      </c>
      <c r="D953" s="4">
        <f>(1+$B$108)*$B$44</f>
        <v>0.1114575</v>
      </c>
      <c r="E953" s="4">
        <f>(1+$B$108)*$B$44</f>
        <v>0.1114575</v>
      </c>
      <c r="F953" s="52" t="s">
        <v>74</v>
      </c>
    </row>
    <row r="954" spans="1:6">
      <c r="A954" s="52" t="s">
        <v>88</v>
      </c>
      <c r="B954" s="55">
        <f>(B953*B957)/((2*B943*B941)-(1.2*B953))</f>
        <v>1.6197636425739001E-3</v>
      </c>
      <c r="C954" s="55">
        <f>(C953*C957)/((2*C943*C941)-(1.2*C953))</f>
        <v>1.6197636425739001E-3</v>
      </c>
      <c r="D954" s="55">
        <f>(D953*D957)/((2*D943*D941)-(1.2*D953))</f>
        <v>1.6197636425739001E-3</v>
      </c>
      <c r="E954" s="55">
        <f>(E953*E957)/((2*E943*E941)-(1.2*E953))</f>
        <v>1.6197636425739001E-3</v>
      </c>
      <c r="F954" s="52" t="s">
        <v>91</v>
      </c>
    </row>
    <row r="955" spans="1:6">
      <c r="A955" s="52" t="s">
        <v>92</v>
      </c>
      <c r="B955" s="55">
        <f>(B953*B957)/((4*B943*B941)+(0.8*B953))</f>
        <v>8.0926583473794368E-4</v>
      </c>
      <c r="C955" s="55">
        <f>(C953*C957)/((4*C943*C941)+(0.8*C953))</f>
        <v>8.0926583473794368E-4</v>
      </c>
      <c r="D955" s="55">
        <f>(D953*D957)/((4*D943*D941)+(0.8*D953))</f>
        <v>8.0926583473794368E-4</v>
      </c>
      <c r="E955" s="55">
        <f>(E953*E957)/((4*E943*E941)+(0.8*E953))</f>
        <v>8.0926583473794368E-4</v>
      </c>
      <c r="F955" s="52" t="s">
        <v>91</v>
      </c>
    </row>
    <row r="956" spans="1:6">
      <c r="A956" s="52" t="s">
        <v>705</v>
      </c>
      <c r="B956" s="4">
        <f>B935+B952</f>
        <v>1.7024000000000001</v>
      </c>
      <c r="C956" s="4">
        <f>C935+C952</f>
        <v>1.7024000000000001</v>
      </c>
      <c r="D956" s="4">
        <f>D935+D952</f>
        <v>1.7024000000000001</v>
      </c>
      <c r="E956" s="4">
        <f>E935+E952</f>
        <v>1.7024000000000001</v>
      </c>
      <c r="F956" s="52" t="s">
        <v>36</v>
      </c>
    </row>
    <row r="957" spans="1:6">
      <c r="A957" s="52" t="s">
        <v>901</v>
      </c>
      <c r="B957" s="4">
        <f>B956*2</f>
        <v>3.4048000000000003</v>
      </c>
      <c r="C957" s="4">
        <f>C956*2</f>
        <v>3.4048000000000003</v>
      </c>
      <c r="D957" s="4">
        <f>D956*2</f>
        <v>3.4048000000000003</v>
      </c>
      <c r="E957" s="4">
        <f>E956*2</f>
        <v>3.4048000000000003</v>
      </c>
      <c r="F957" s="52" t="s">
        <v>36</v>
      </c>
    </row>
    <row r="958" spans="1:6">
      <c r="A958" s="52" t="s">
        <v>704</v>
      </c>
      <c r="B958" s="1">
        <f>MAX(B954,B955)</f>
        <v>1.6197636425739001E-3</v>
      </c>
      <c r="C958" s="1">
        <f>MAX(C954,C955)</f>
        <v>1.6197636425739001E-3</v>
      </c>
      <c r="D958" s="1">
        <f>MAX(D954,D955)</f>
        <v>1.6197636425739001E-3</v>
      </c>
      <c r="E958" s="1">
        <f>MAX(E954,E955)</f>
        <v>1.6197636425739001E-3</v>
      </c>
      <c r="F958" s="52" t="s">
        <v>36</v>
      </c>
    </row>
    <row r="959" spans="1:6">
      <c r="A959" s="52" t="s">
        <v>706</v>
      </c>
      <c r="B959" s="4">
        <f>PI()*B937*(((B956+B958)^2)-(B956^2))</f>
        <v>0.21684878478816116</v>
      </c>
      <c r="C959" s="4">
        <f>PI()*C937*(((C956+C958)^2)-(C956^2))</f>
        <v>0.21684878478816116</v>
      </c>
      <c r="D959" s="4">
        <f>PI()*D937*(((D956+D958)^2)-(D956^2))</f>
        <v>0.21684878478816116</v>
      </c>
      <c r="E959" s="4">
        <f>PI()*E937*(((E956+E958)^2)-(E956^2))</f>
        <v>0.21684878478816116</v>
      </c>
      <c r="F959" s="52" t="s">
        <v>28</v>
      </c>
    </row>
    <row r="960" spans="1:6">
      <c r="A960" s="52" t="s">
        <v>707</v>
      </c>
      <c r="B960" s="3">
        <f>B959*$B$85</f>
        <v>1680.578082108249</v>
      </c>
      <c r="C960" s="3">
        <f>C959*$B$85</f>
        <v>1680.578082108249</v>
      </c>
      <c r="D960" s="3">
        <f>D959*$B$85</f>
        <v>1680.578082108249</v>
      </c>
      <c r="E960" s="3">
        <f>E959*$B$85</f>
        <v>1680.578082108249</v>
      </c>
      <c r="F960" s="52" t="s">
        <v>44</v>
      </c>
    </row>
    <row r="961" spans="1:6">
      <c r="A961" s="52" t="s">
        <v>725</v>
      </c>
      <c r="B961" s="3">
        <f>(((4/3)*PI()*(((B956+B958)^3)-(B956^3)))+B959)*$B$85</f>
        <v>2138.1923766486302</v>
      </c>
      <c r="C961" s="3">
        <f>(((4/3)*PI()*(((C956+C958)^3)-(C956^3)))+C959)*$B$85</f>
        <v>2138.1923766486302</v>
      </c>
      <c r="D961" s="3">
        <f>(((4/3)*PI()*(((D956+D958)^3)-(D956^3)))+D959)*$B$85</f>
        <v>2138.1923766486302</v>
      </c>
      <c r="E961" s="3">
        <f>(((4/3)*PI()*(((E956+E958)^3)-(E956^3)))+E959)*$B$85</f>
        <v>2138.1923766486302</v>
      </c>
      <c r="F961" s="52" t="s">
        <v>44</v>
      </c>
    </row>
    <row r="963" spans="1:6">
      <c r="A963" s="52" t="s">
        <v>709</v>
      </c>
      <c r="B963" s="3"/>
    </row>
    <row r="964" spans="1:6">
      <c r="A964" t="s">
        <v>80</v>
      </c>
      <c r="B964" s="3"/>
    </row>
    <row r="965" spans="1:6">
      <c r="A965" t="s">
        <v>81</v>
      </c>
      <c r="B965" s="5">
        <v>0.8</v>
      </c>
      <c r="C965" s="5">
        <v>0.8</v>
      </c>
      <c r="D965" s="5">
        <v>0.8</v>
      </c>
      <c r="E965" s="5">
        <v>0.8</v>
      </c>
    </row>
    <row r="966" spans="1:6">
      <c r="A966" t="s">
        <v>82</v>
      </c>
      <c r="B966" s="5">
        <v>0.3</v>
      </c>
      <c r="C966" s="5">
        <v>0.3</v>
      </c>
      <c r="D966" s="5">
        <v>0.3</v>
      </c>
      <c r="E966" s="5">
        <v>0.3</v>
      </c>
    </row>
    <row r="967" spans="1:6">
      <c r="A967" t="s">
        <v>83</v>
      </c>
      <c r="B967" s="5">
        <v>0.2</v>
      </c>
      <c r="C967" s="5">
        <v>0.2</v>
      </c>
      <c r="D967" s="5">
        <v>0.2</v>
      </c>
      <c r="E967" s="5">
        <v>0.2</v>
      </c>
    </row>
    <row r="968" spans="1:6">
      <c r="A968" t="s">
        <v>84</v>
      </c>
      <c r="B968" s="5">
        <v>0.3</v>
      </c>
      <c r="C968" s="5">
        <v>0.3</v>
      </c>
      <c r="D968" s="5">
        <v>0.3</v>
      </c>
      <c r="E968" s="5">
        <v>0.3</v>
      </c>
    </row>
    <row r="969" spans="1:6">
      <c r="A969" t="s">
        <v>85</v>
      </c>
      <c r="B969" s="5">
        <v>0.3</v>
      </c>
      <c r="C969" s="5">
        <v>0.3</v>
      </c>
      <c r="D969" s="5">
        <v>0.3</v>
      </c>
      <c r="E969" s="5">
        <v>0.3</v>
      </c>
    </row>
    <row r="970" spans="1:6">
      <c r="A970" t="s">
        <v>86</v>
      </c>
      <c r="B970" s="5">
        <v>0.2</v>
      </c>
      <c r="C970" s="5">
        <v>0.2</v>
      </c>
      <c r="D970" s="5">
        <v>0.2</v>
      </c>
      <c r="E970" s="5">
        <v>0.2</v>
      </c>
    </row>
    <row r="971" spans="1:6">
      <c r="A971" t="s">
        <v>87</v>
      </c>
      <c r="B971" s="5">
        <v>0.1</v>
      </c>
      <c r="C971" s="5">
        <v>0.1</v>
      </c>
      <c r="D971" s="5">
        <v>0.1</v>
      </c>
      <c r="E971" s="5">
        <v>0.1</v>
      </c>
    </row>
    <row r="972" spans="1:6">
      <c r="A972" t="s">
        <v>711</v>
      </c>
      <c r="B972" s="3"/>
    </row>
    <row r="973" spans="1:6">
      <c r="A973" t="s">
        <v>76</v>
      </c>
      <c r="B973" s="3">
        <v>17400</v>
      </c>
      <c r="C973" s="3">
        <v>17400</v>
      </c>
      <c r="D973" s="3">
        <v>17400</v>
      </c>
      <c r="E973" s="3">
        <v>17400</v>
      </c>
      <c r="F973" s="17" t="s">
        <v>563</v>
      </c>
    </row>
    <row r="974" spans="1:6">
      <c r="A974" t="s">
        <v>77</v>
      </c>
      <c r="B974" s="3">
        <v>79</v>
      </c>
      <c r="C974" s="3">
        <v>79</v>
      </c>
      <c r="D974" s="3">
        <v>79</v>
      </c>
      <c r="E974" s="3">
        <v>79</v>
      </c>
      <c r="F974" s="17" t="s">
        <v>563</v>
      </c>
    </row>
    <row r="975" spans="1:6">
      <c r="A975" t="s">
        <v>78</v>
      </c>
      <c r="B975" s="3">
        <f>B949</f>
        <v>21681.468619926593</v>
      </c>
      <c r="C975" s="3">
        <f>C949</f>
        <v>21681.468619926593</v>
      </c>
      <c r="D975" s="3">
        <f>D949</f>
        <v>21681.468619926593</v>
      </c>
      <c r="E975" s="3">
        <f>E949</f>
        <v>21681.468619926593</v>
      </c>
      <c r="F975" t="s">
        <v>44</v>
      </c>
    </row>
    <row r="976" spans="1:6">
      <c r="A976" t="s">
        <v>79</v>
      </c>
      <c r="B976" s="5">
        <v>0.85</v>
      </c>
      <c r="C976" s="5">
        <v>0.85</v>
      </c>
      <c r="D976" s="5">
        <v>0.85</v>
      </c>
      <c r="E976" s="5">
        <v>0.85</v>
      </c>
      <c r="F976" s="17" t="s">
        <v>563</v>
      </c>
    </row>
    <row r="977" spans="1:6">
      <c r="A977" t="s">
        <v>64</v>
      </c>
      <c r="B977" s="14">
        <f>B$973+(B$974*(B975^B$976))</f>
        <v>400491.47102642199</v>
      </c>
      <c r="C977" s="14">
        <f>C$973+(C$974*(C975^C$976))</f>
        <v>400491.47102642199</v>
      </c>
      <c r="D977" s="14">
        <f>D$973+(D$974*(D975^D$976))</f>
        <v>400491.47102642199</v>
      </c>
      <c r="E977" s="14">
        <f>E$973+(E$974*(E975^E$976))</f>
        <v>400491.47102642199</v>
      </c>
      <c r="F977" t="s">
        <v>717</v>
      </c>
    </row>
    <row r="978" spans="1:6">
      <c r="A978" t="s">
        <v>718</v>
      </c>
      <c r="B978" s="14">
        <f>B977*(1+SUM(B$965:B$971))</f>
        <v>1281572.7072845504</v>
      </c>
      <c r="C978" s="14">
        <f>C977*(1+SUM(C$965:C$971))</f>
        <v>1281572.7072845504</v>
      </c>
      <c r="D978" s="14">
        <f>D977*(1+SUM(D$965:D$971))</f>
        <v>1281572.7072845504</v>
      </c>
      <c r="E978" s="14">
        <f>E977*(1+SUM(E$965:E$971))</f>
        <v>1281572.7072845504</v>
      </c>
      <c r="F978" t="s">
        <v>710</v>
      </c>
    </row>
    <row r="979" spans="1:6">
      <c r="B979" s="14">
        <f>B978*$B$141</f>
        <v>1761984.6554253115</v>
      </c>
      <c r="C979" s="14">
        <f t="shared" ref="C979:D979" si="62">C978*$B$141</f>
        <v>1761984.6554253115</v>
      </c>
      <c r="D979" s="14">
        <f t="shared" si="62"/>
        <v>1761984.6554253115</v>
      </c>
      <c r="E979" s="14">
        <f>E978*$B$141</f>
        <v>1761984.6554253115</v>
      </c>
      <c r="F979" t="str">
        <f>$B$128&amp;" USD, Gulf Coast"</f>
        <v>2024 USD, Gulf Coast</v>
      </c>
    </row>
    <row r="980" spans="1:6">
      <c r="B980" s="14">
        <f>B979*$C$242</f>
        <v>1761984.6554253115</v>
      </c>
      <c r="C980" s="14">
        <f t="shared" ref="C980:D980" si="63">C979*$C$242</f>
        <v>1761984.6554253115</v>
      </c>
      <c r="D980" s="14">
        <f t="shared" si="63"/>
        <v>1761984.6554253115</v>
      </c>
      <c r="E980" s="14">
        <f>E979*$C$242</f>
        <v>1761984.6554253115</v>
      </c>
      <c r="F980" t="str">
        <f>$B$128&amp;" USD, "&amp;$A$242</f>
        <v>2024 USD, USA</v>
      </c>
    </row>
    <row r="981" spans="1:6">
      <c r="A981" t="s">
        <v>712</v>
      </c>
      <c r="B981" s="3"/>
    </row>
    <row r="982" spans="1:6">
      <c r="A982" t="s">
        <v>76</v>
      </c>
      <c r="B982" s="3">
        <v>11600</v>
      </c>
      <c r="C982" s="3">
        <v>11600</v>
      </c>
      <c r="D982" s="3">
        <v>11600</v>
      </c>
      <c r="E982" s="3">
        <v>11600</v>
      </c>
      <c r="F982" s="17" t="s">
        <v>563</v>
      </c>
    </row>
    <row r="983" spans="1:6">
      <c r="A983" t="s">
        <v>77</v>
      </c>
      <c r="B983" s="3">
        <v>34</v>
      </c>
      <c r="C983" s="3">
        <v>34</v>
      </c>
      <c r="D983" s="3">
        <v>34</v>
      </c>
      <c r="E983" s="3">
        <v>34</v>
      </c>
      <c r="F983" s="17" t="s">
        <v>563</v>
      </c>
    </row>
    <row r="984" spans="1:6">
      <c r="A984" t="s">
        <v>78</v>
      </c>
      <c r="B984" s="3">
        <f>B960</f>
        <v>1680.578082108249</v>
      </c>
      <c r="C984" s="3">
        <f>C960</f>
        <v>1680.578082108249</v>
      </c>
      <c r="D984" s="3">
        <f>D960</f>
        <v>1680.578082108249</v>
      </c>
      <c r="E984" s="3">
        <f>E960</f>
        <v>1680.578082108249</v>
      </c>
      <c r="F984" t="s">
        <v>44</v>
      </c>
    </row>
    <row r="985" spans="1:6">
      <c r="A985" t="s">
        <v>79</v>
      </c>
      <c r="B985" s="5">
        <v>0.85</v>
      </c>
      <c r="C985" s="5">
        <v>0.85</v>
      </c>
      <c r="D985" s="5">
        <v>0.85</v>
      </c>
      <c r="E985" s="5">
        <v>0.85</v>
      </c>
      <c r="F985" s="17" t="s">
        <v>563</v>
      </c>
    </row>
    <row r="986" spans="1:6">
      <c r="A986" t="s">
        <v>64</v>
      </c>
      <c r="B986" s="14">
        <f>B$982+(B$983*(B984^B$985))</f>
        <v>30355.075120442023</v>
      </c>
      <c r="C986" s="14">
        <f>C$982+(C$983*(C984^C$985))</f>
        <v>30355.075120442023</v>
      </c>
      <c r="D986" s="14">
        <f>D$982+(D$983*(D984^D$985))</f>
        <v>30355.075120442023</v>
      </c>
      <c r="E986" s="14">
        <f>E$982+(E$983*(E984^E$985))</f>
        <v>30355.075120442023</v>
      </c>
      <c r="F986" t="s">
        <v>717</v>
      </c>
    </row>
    <row r="987" spans="1:6">
      <c r="A987" t="s">
        <v>718</v>
      </c>
      <c r="B987" s="14">
        <f>B986*(1+SUM(B$965:B$971))</f>
        <v>97136.24038541448</v>
      </c>
      <c r="C987" s="14">
        <f>C986*(1+SUM(C$965:C$971))</f>
        <v>97136.24038541448</v>
      </c>
      <c r="D987" s="14">
        <f>D986*(1+SUM(D$965:D$971))</f>
        <v>97136.24038541448</v>
      </c>
      <c r="E987" s="14">
        <f>E986*(1+SUM(E$965:E$971))</f>
        <v>97136.24038541448</v>
      </c>
      <c r="F987" t="s">
        <v>710</v>
      </c>
    </row>
    <row r="988" spans="1:6">
      <c r="B988" s="14">
        <f>B987*$B$141</f>
        <v>133548.85296164738</v>
      </c>
      <c r="C988" s="14">
        <f t="shared" ref="C988:D988" si="64">C987*$B$141</f>
        <v>133548.85296164738</v>
      </c>
      <c r="D988" s="14">
        <f t="shared" si="64"/>
        <v>133548.85296164738</v>
      </c>
      <c r="E988" s="14">
        <f>E987*$B$141</f>
        <v>133548.85296164738</v>
      </c>
      <c r="F988" t="str">
        <f>$B$128&amp;" USD, Gulf Coast"</f>
        <v>2024 USD, Gulf Coast</v>
      </c>
    </row>
    <row r="989" spans="1:6">
      <c r="B989" s="14">
        <f>B988*$C$242</f>
        <v>133548.85296164738</v>
      </c>
      <c r="C989" s="14">
        <f t="shared" ref="C989:D989" si="65">C988*$C$242</f>
        <v>133548.85296164738</v>
      </c>
      <c r="D989" s="14">
        <f t="shared" si="65"/>
        <v>133548.85296164738</v>
      </c>
      <c r="E989" s="14">
        <f>E988*$C$242</f>
        <v>133548.85296164738</v>
      </c>
      <c r="F989" t="str">
        <f>$B$128&amp;" USD, "&amp;$A$242</f>
        <v>2024 USD, USA</v>
      </c>
    </row>
    <row r="990" spans="1:6">
      <c r="A990" t="s">
        <v>716</v>
      </c>
      <c r="B990" s="3"/>
    </row>
    <row r="991" spans="1:6">
      <c r="A991" t="s">
        <v>99</v>
      </c>
      <c r="B991" s="14">
        <f>$B$584</f>
        <v>31516.840213903364</v>
      </c>
      <c r="C991" s="14">
        <f>$B$584</f>
        <v>31516.840213903364</v>
      </c>
      <c r="D991" s="14">
        <f>$B$584</f>
        <v>31516.840213903364</v>
      </c>
      <c r="E991" s="14">
        <f>$B$584</f>
        <v>31516.840213903364</v>
      </c>
      <c r="F991" t="str">
        <f>$B$128&amp;" USD"</f>
        <v>2024 USD</v>
      </c>
    </row>
    <row r="992" spans="1:6">
      <c r="A992" s="14" t="s">
        <v>713</v>
      </c>
      <c r="B992" s="14">
        <f>$B$588</f>
        <v>78792.100534758414</v>
      </c>
      <c r="C992" s="14">
        <f>$B$588</f>
        <v>78792.100534758414</v>
      </c>
      <c r="D992" s="14">
        <f>$B$588</f>
        <v>78792.100534758414</v>
      </c>
      <c r="E992" s="14">
        <f>$B$588</f>
        <v>78792.100534758414</v>
      </c>
      <c r="F992" t="str">
        <f t="shared" ref="F992:F993" si="66">$B$128&amp;" USD"</f>
        <v>2024 USD</v>
      </c>
    </row>
    <row r="993" spans="1:6">
      <c r="A993" s="14" t="s">
        <v>714</v>
      </c>
      <c r="B993" s="14">
        <f>$B$586</f>
        <v>39396.050267379207</v>
      </c>
      <c r="C993" s="14">
        <f>$B$586</f>
        <v>39396.050267379207</v>
      </c>
      <c r="D993" s="14">
        <f>$B$586</f>
        <v>39396.050267379207</v>
      </c>
      <c r="E993" s="14">
        <f>$B$586</f>
        <v>39396.050267379207</v>
      </c>
      <c r="F993" t="str">
        <f t="shared" si="66"/>
        <v>2024 USD</v>
      </c>
    </row>
    <row r="994" spans="1:6">
      <c r="A994" t="s">
        <v>719</v>
      </c>
      <c r="B994" s="14">
        <f>(B$991+B992)*(1+SUM(B$965:B$971))</f>
        <v>352988.61039571773</v>
      </c>
      <c r="C994" s="14">
        <f t="shared" ref="C994:C995" si="67">(C$991+C992)*(1+SUM(C$965:C$971))</f>
        <v>352988.61039571773</v>
      </c>
      <c r="D994" s="14">
        <f>(D$991+D992)*(1+SUM(D$965:D$971))</f>
        <v>352988.61039571773</v>
      </c>
      <c r="E994" s="14">
        <f>(E$991+E992)*(1+SUM(E$965:E$971))</f>
        <v>352988.61039571773</v>
      </c>
      <c r="F994" t="str">
        <f>$B$128&amp;" USD, "&amp;$A$242</f>
        <v>2024 USD, USA</v>
      </c>
    </row>
    <row r="995" spans="1:6">
      <c r="A995" t="s">
        <v>720</v>
      </c>
      <c r="B995" s="14">
        <f>(B$991+B993)*(1+SUM(B$965:B$971))</f>
        <v>226921.24954010427</v>
      </c>
      <c r="C995" s="14">
        <f t="shared" si="67"/>
        <v>226921.24954010427</v>
      </c>
      <c r="D995" s="14">
        <f>(D$991+D993)*(1+SUM(D$965:D$971))</f>
        <v>226921.24954010427</v>
      </c>
      <c r="E995" s="14">
        <f>(E$991+E993)*(1+SUM(E$965:E$971))</f>
        <v>226921.24954010427</v>
      </c>
      <c r="F995" t="str">
        <f>$B$128&amp;" USD, "&amp;$A$242</f>
        <v>2024 USD, USA</v>
      </c>
    </row>
    <row r="996" spans="1:6">
      <c r="A996" t="s">
        <v>1170</v>
      </c>
      <c r="B996" s="3">
        <f>B$940</f>
        <v>2</v>
      </c>
      <c r="C996" s="3">
        <f>C$940</f>
        <v>2</v>
      </c>
      <c r="D996" s="3">
        <f>MIN($B$697,$D$940)</f>
        <v>10</v>
      </c>
      <c r="E996" s="3">
        <f>IF('User Interface'!$B$8=Options!$E$4,MIN($B$697,$E$940),IF('User Interface'!$B$12=Options!$G$4,Calculations!$C$996,Calculations!$B$996))</f>
        <v>2</v>
      </c>
      <c r="F996" t="s">
        <v>38</v>
      </c>
    </row>
    <row r="997" spans="1:6">
      <c r="A997" t="s">
        <v>1171</v>
      </c>
      <c r="B997" s="3">
        <f t="shared" ref="B997:C997" si="68">B$940</f>
        <v>2</v>
      </c>
      <c r="C997" s="3">
        <f t="shared" si="68"/>
        <v>2</v>
      </c>
      <c r="D997" s="3">
        <f>MIN($B$697,$D$940)</f>
        <v>10</v>
      </c>
      <c r="E997" s="3">
        <f>IF('User Interface'!$B$8=Options!$E$4,MIN($B$697,$E$940),IF('User Interface'!$B$12=Options!$G$4,Calculations!$C$997,Calculations!$B$997))</f>
        <v>2</v>
      </c>
      <c r="F997" t="s">
        <v>38</v>
      </c>
    </row>
    <row r="998" spans="1:6">
      <c r="A998" t="s">
        <v>721</v>
      </c>
      <c r="B998" s="14">
        <f>((B$980+B$989)*B$940)+(B$994*B$996)</f>
        <v>4497044.2375653535</v>
      </c>
      <c r="C998" s="14">
        <f t="shared" ref="C998" si="69">((C$980+C$989)*C$940)+(C$994*C$996)</f>
        <v>4497044.2375653535</v>
      </c>
      <c r="D998" s="14">
        <f>((D$980+D$989)*D$940)+(D$994*D$996)</f>
        <v>22485221.187826764</v>
      </c>
      <c r="E998" s="14">
        <f>((E$980+E$989)*E$940)+(E$994*E$996)</f>
        <v>705977.22079143545</v>
      </c>
      <c r="F998" t="str">
        <f t="shared" ref="F998:F999" si="70">$B$128&amp;" USD, "&amp;$A$242</f>
        <v>2024 USD, USA</v>
      </c>
    </row>
    <row r="999" spans="1:6">
      <c r="A999" t="s">
        <v>722</v>
      </c>
      <c r="B999" s="14">
        <f t="shared" ref="B999:C999" si="71">((B$980+B$989)*B$940)+(B$995*B$997)</f>
        <v>4244909.5158541258</v>
      </c>
      <c r="C999" s="14">
        <f t="shared" si="71"/>
        <v>4244909.5158541258</v>
      </c>
      <c r="D999" s="14">
        <f>((D$980+D$989)*D$940)+(D$995*D$997)</f>
        <v>21224547.579270631</v>
      </c>
      <c r="E999" s="14">
        <f>((E$980+E$989)*E$940)+(E$995*E$997)</f>
        <v>453842.49908020854</v>
      </c>
      <c r="F999" t="str">
        <f t="shared" si="70"/>
        <v>2024 USD, USA</v>
      </c>
    </row>
    <row r="1000" spans="1:6">
      <c r="A1000" t="s">
        <v>377</v>
      </c>
      <c r="B1000" s="14"/>
      <c r="C1000" s="14"/>
      <c r="D1000" s="14"/>
    </row>
    <row r="1001" spans="1:6">
      <c r="A1001" t="s">
        <v>1200</v>
      </c>
      <c r="B1001" s="3">
        <f>IF('User Interface'!$B$13=Options!$AB$5,E930,IF('User Interface'!$B$8=Options!$E$4,D930,IF('User Interface'!$B$12=Options!$G$4,C930,B930)))</f>
        <v>3.4257084299026919</v>
      </c>
      <c r="C1001" t="s">
        <v>10</v>
      </c>
    </row>
    <row r="1002" spans="1:6">
      <c r="A1002" t="s">
        <v>537</v>
      </c>
      <c r="B1002" s="3">
        <f>IF('User Interface'!$B$13=Options!$AB$5,E932,IF('User Interface'!$B$8=Options!$E$4,D932,IF('User Interface'!$B$12=Options!$G$4,C932,B932)))</f>
        <v>117.23848151617699</v>
      </c>
      <c r="C1002" t="s">
        <v>2</v>
      </c>
    </row>
    <row r="1003" spans="1:6">
      <c r="A1003" t="s">
        <v>723</v>
      </c>
      <c r="B1003" s="14">
        <f>IF('User Interface'!$B$13=Options!$AB$5,E998,IF('User Interface'!$B$8=Options!$E$4,D998,IF('User Interface'!$B$12=Options!$G$4,C998,B998)))</f>
        <v>4497044.2375653535</v>
      </c>
      <c r="C1003" t="str">
        <f>$B$128&amp;" USD"</f>
        <v>2024 USD</v>
      </c>
      <c r="D1003" s="6"/>
    </row>
    <row r="1004" spans="1:6">
      <c r="A1004" t="s">
        <v>724</v>
      </c>
      <c r="B1004" s="14">
        <f>IF('User Interface'!$B$13=Options!$AB$5,E999,IF('User Interface'!$B$8=Options!$E$4,D999,IF('User Interface'!$B$12=Options!$G$4,C999,B999)))</f>
        <v>4244909.5158541258</v>
      </c>
      <c r="C1004" t="str">
        <f>$B$128&amp;" USD"</f>
        <v>2024 USD</v>
      </c>
    </row>
    <row r="1005" spans="1:6">
      <c r="A1005" t="s">
        <v>782</v>
      </c>
      <c r="B1005" s="3">
        <f>IF('User Interface'!$B$13=Options!$AB$5,(E950+E961)*E940,IF('User Interface'!$B$8=Options!$E$4,(D950+D961)*D940,IF('User Interface'!$B$12=Options!$G$4,(C950+C961)*C940,(B950+B961)*B940)))</f>
        <v>58461.190325916563</v>
      </c>
      <c r="C1005" t="s">
        <v>44</v>
      </c>
    </row>
    <row r="1006" spans="1:6">
      <c r="A1006" t="s">
        <v>783</v>
      </c>
      <c r="B1006" s="3">
        <f>IF('User Interface'!$B$13=Options!$AB$5,(E950+E961)*E940,IF('User Interface'!$B$8=Options!$E$4,(D950+D961)*D940,IF('User Interface'!$B$12=Options!$G$4,(C950+C961)*C940,(B950+B961)*B940)))</f>
        <v>58461.190325916563</v>
      </c>
      <c r="C1006" t="s">
        <v>44</v>
      </c>
    </row>
    <row r="1007" spans="1:6">
      <c r="A1007" t="s">
        <v>810</v>
      </c>
      <c r="B1007" s="3">
        <f>(B1005/1000)*$B$83</f>
        <v>143.29775758564006</v>
      </c>
      <c r="C1007" t="s">
        <v>781</v>
      </c>
      <c r="D1007" s="1"/>
    </row>
    <row r="1008" spans="1:6">
      <c r="A1008" t="s">
        <v>811</v>
      </c>
      <c r="B1008" s="3">
        <f>(B1006/1000)*$B$83</f>
        <v>143.29775758564006</v>
      </c>
      <c r="C1008" t="s">
        <v>781</v>
      </c>
    </row>
    <row r="1009" spans="1:4">
      <c r="B1009" s="3"/>
    </row>
    <row r="1010" spans="1:4" s="30" customFormat="1">
      <c r="A1010" s="30" t="s">
        <v>740</v>
      </c>
      <c r="B1010" s="39"/>
    </row>
    <row r="1011" spans="1:4">
      <c r="B1011" t="s">
        <v>239</v>
      </c>
      <c r="C1011" t="s">
        <v>743</v>
      </c>
    </row>
    <row r="1012" spans="1:4">
      <c r="A1012" t="s">
        <v>51</v>
      </c>
      <c r="B1012" s="3">
        <f>B536</f>
        <v>22.725892457964925</v>
      </c>
      <c r="C1012" s="3">
        <f>D536</f>
        <v>19.602147440683037</v>
      </c>
      <c r="D1012" t="s">
        <v>21</v>
      </c>
    </row>
    <row r="1013" spans="1:4">
      <c r="A1013" t="s">
        <v>240</v>
      </c>
      <c r="B1013" s="4">
        <f>(B1012/Calculations!$B$6)*60</f>
        <v>39.843034657304109</v>
      </c>
      <c r="C1013" s="4">
        <f>(C1012/Calculations!$B$6)*60</f>
        <v>34.366484893005499</v>
      </c>
      <c r="D1013" t="s">
        <v>241</v>
      </c>
    </row>
    <row r="1014" spans="1:4">
      <c r="A1014" t="s">
        <v>242</v>
      </c>
      <c r="B1014" s="4">
        <v>15</v>
      </c>
      <c r="C1014" s="4">
        <v>15</v>
      </c>
      <c r="D1014" t="s">
        <v>32</v>
      </c>
    </row>
    <row r="1015" spans="1:4">
      <c r="A1015" t="s">
        <v>745</v>
      </c>
      <c r="B1015" s="3">
        <f>ROUND($B$1002/B1012,0)</f>
        <v>5</v>
      </c>
      <c r="C1015" s="3">
        <f>ROUND($B$1002/C1012,0)</f>
        <v>6</v>
      </c>
      <c r="D1015" t="s">
        <v>38</v>
      </c>
    </row>
    <row r="1016" spans="1:4">
      <c r="A1016" t="s">
        <v>243</v>
      </c>
      <c r="B1016" s="4">
        <f>2*(ROUNDUP(B1014/B1013,0))</f>
        <v>2</v>
      </c>
      <c r="C1016" s="4">
        <f>2*(ROUNDUP(C1014/C1013,0))</f>
        <v>2</v>
      </c>
      <c r="D1016" t="s">
        <v>38</v>
      </c>
    </row>
    <row r="1017" spans="1:4">
      <c r="A1017" t="s">
        <v>746</v>
      </c>
      <c r="B1017">
        <v>11.5</v>
      </c>
      <c r="C1017">
        <v>11.5</v>
      </c>
      <c r="D1017" t="s">
        <v>36</v>
      </c>
    </row>
    <row r="1018" spans="1:4">
      <c r="A1018" t="s">
        <v>747</v>
      </c>
      <c r="B1018">
        <v>2.5</v>
      </c>
      <c r="C1018">
        <v>2.5</v>
      </c>
      <c r="D1018" t="s">
        <v>36</v>
      </c>
    </row>
    <row r="1019" spans="1:4">
      <c r="A1019" t="s">
        <v>748</v>
      </c>
      <c r="B1019" s="4">
        <f>B1017*B1018</f>
        <v>28.75</v>
      </c>
      <c r="C1019" s="4">
        <f>C1017*C1018</f>
        <v>28.75</v>
      </c>
      <c r="D1019" t="s">
        <v>27</v>
      </c>
    </row>
    <row r="1020" spans="1:4">
      <c r="A1020" t="s">
        <v>744</v>
      </c>
      <c r="B1020" s="3">
        <f>(B1019*B1015)</f>
        <v>143.75</v>
      </c>
      <c r="C1020" s="3">
        <f>(C1019*C1015)</f>
        <v>172.5</v>
      </c>
      <c r="D1020" t="s">
        <v>27</v>
      </c>
    </row>
    <row r="1021" spans="1:4">
      <c r="A1021" t="s">
        <v>749</v>
      </c>
      <c r="B1021" s="15">
        <v>0.54</v>
      </c>
      <c r="C1021" s="15">
        <v>0.54</v>
      </c>
    </row>
    <row r="1022" spans="1:4">
      <c r="A1022" t="s">
        <v>231</v>
      </c>
      <c r="B1022" s="3">
        <f>B1020/B1021</f>
        <v>266.2037037037037</v>
      </c>
      <c r="C1022" s="3">
        <f>C1020/C1021</f>
        <v>319.4444444444444</v>
      </c>
      <c r="D1022" t="s">
        <v>27</v>
      </c>
    </row>
    <row r="1023" spans="1:4">
      <c r="A1023" t="s">
        <v>751</v>
      </c>
      <c r="B1023" s="15">
        <v>0.4</v>
      </c>
      <c r="C1023" s="15">
        <v>0.4</v>
      </c>
    </row>
    <row r="1024" spans="1:4">
      <c r="A1024" t="s">
        <v>56</v>
      </c>
      <c r="B1024" s="3">
        <f>B1022/B1023</f>
        <v>665.50925925925924</v>
      </c>
      <c r="C1024" s="3">
        <f>C1022/C1023</f>
        <v>798.61111111111097</v>
      </c>
      <c r="D1024" t="s">
        <v>27</v>
      </c>
    </row>
    <row r="1025" spans="1:5">
      <c r="A1025" t="s">
        <v>750</v>
      </c>
      <c r="B1025" s="15">
        <v>0.82</v>
      </c>
      <c r="C1025" s="15">
        <v>0.82</v>
      </c>
    </row>
    <row r="1026" spans="1:5">
      <c r="A1026" t="s">
        <v>232</v>
      </c>
      <c r="B1026" s="3">
        <f>B1024/B1025</f>
        <v>811.59665763324301</v>
      </c>
      <c r="C1026" s="3">
        <f>C1024/C1025</f>
        <v>973.91598915989152</v>
      </c>
      <c r="D1026" t="s">
        <v>27</v>
      </c>
    </row>
    <row r="1027" spans="1:5">
      <c r="A1027" t="s">
        <v>233</v>
      </c>
      <c r="B1027" s="15">
        <f>B1020/B1026</f>
        <v>0.17712</v>
      </c>
      <c r="C1027" s="15">
        <f>C1020/C1026</f>
        <v>0.17712000000000003</v>
      </c>
    </row>
    <row r="1028" spans="1:5">
      <c r="B1028" s="15"/>
      <c r="C1028" s="15"/>
    </row>
    <row r="1029" spans="1:5">
      <c r="A1029" t="s">
        <v>217</v>
      </c>
      <c r="B1029" t="s">
        <v>218</v>
      </c>
      <c r="C1029" t="s">
        <v>218</v>
      </c>
      <c r="D1029" t="s">
        <v>219</v>
      </c>
      <c r="E1029" t="s">
        <v>220</v>
      </c>
    </row>
    <row r="1030" spans="1:5">
      <c r="A1030" t="s">
        <v>244</v>
      </c>
      <c r="B1030" s="3">
        <f>B1026</f>
        <v>811.59665763324301</v>
      </c>
      <c r="C1030" s="3">
        <f>C1026</f>
        <v>973.91598915989152</v>
      </c>
      <c r="D1030" t="s">
        <v>27</v>
      </c>
      <c r="E1030" s="6">
        <f>$B$39</f>
        <v>0.43490508690688584</v>
      </c>
    </row>
    <row r="1031" spans="1:5">
      <c r="A1031" t="s">
        <v>221</v>
      </c>
      <c r="B1031" s="3">
        <f>B1026</f>
        <v>811.59665763324301</v>
      </c>
      <c r="C1031" s="3">
        <f>C1026</f>
        <v>973.91598915989152</v>
      </c>
      <c r="D1031" t="s">
        <v>27</v>
      </c>
      <c r="E1031" s="6">
        <v>1.7519756057783071</v>
      </c>
    </row>
    <row r="1032" spans="1:5">
      <c r="A1032" t="s">
        <v>752</v>
      </c>
      <c r="B1032" s="4">
        <v>0.9</v>
      </c>
      <c r="C1032" s="4">
        <v>0.9</v>
      </c>
      <c r="D1032" t="s">
        <v>36</v>
      </c>
      <c r="E1032" s="6" t="s">
        <v>37</v>
      </c>
    </row>
    <row r="1033" spans="1:5">
      <c r="A1033" t="s">
        <v>222</v>
      </c>
      <c r="B1033" s="3">
        <f>(B1026*B1032)</f>
        <v>730.43699186991876</v>
      </c>
      <c r="C1033" s="3">
        <f>(C1026*C1032)</f>
        <v>876.52439024390242</v>
      </c>
      <c r="D1033" t="s">
        <v>28</v>
      </c>
      <c r="E1033" s="6">
        <v>12.569464788321193</v>
      </c>
    </row>
    <row r="1034" spans="1:5">
      <c r="A1034" t="s">
        <v>223</v>
      </c>
      <c r="B1034" s="3">
        <f>B1024</f>
        <v>665.50925925925924</v>
      </c>
      <c r="C1034" s="3">
        <f>C1024</f>
        <v>798.61111111111097</v>
      </c>
      <c r="D1034" t="s">
        <v>27</v>
      </c>
      <c r="E1034" s="6">
        <v>1216.3057289156916</v>
      </c>
    </row>
    <row r="1035" spans="1:5">
      <c r="A1035" t="s">
        <v>753</v>
      </c>
      <c r="B1035" s="11">
        <v>8.0000000000000002E-3</v>
      </c>
      <c r="C1035" s="11">
        <v>8.0000000000000002E-3</v>
      </c>
      <c r="D1035" s="17" t="s">
        <v>563</v>
      </c>
      <c r="E1035" s="6" t="s">
        <v>37</v>
      </c>
    </row>
    <row r="1036" spans="1:5">
      <c r="A1036" t="s">
        <v>224</v>
      </c>
      <c r="B1036" s="3">
        <f>B1024*B1035</f>
        <v>5.3240740740740744</v>
      </c>
      <c r="C1036" s="3">
        <f>C1024*C1035</f>
        <v>6.3888888888888875</v>
      </c>
      <c r="D1036" t="s">
        <v>27</v>
      </c>
      <c r="E1036" s="6">
        <v>33.581158018797517</v>
      </c>
    </row>
    <row r="1037" spans="1:5">
      <c r="A1037" t="s">
        <v>754</v>
      </c>
      <c r="B1037" s="11">
        <v>4.0000000000000001E-3</v>
      </c>
      <c r="C1037" s="11">
        <v>4.0000000000000001E-3</v>
      </c>
      <c r="D1037" s="17" t="s">
        <v>563</v>
      </c>
      <c r="E1037" s="6" t="s">
        <v>37</v>
      </c>
    </row>
    <row r="1038" spans="1:5">
      <c r="A1038" t="s">
        <v>225</v>
      </c>
      <c r="B1038" s="3">
        <f>B1024*B1037</f>
        <v>2.6620370370370372</v>
      </c>
      <c r="C1038" s="3">
        <f>C1024*C1037</f>
        <v>3.1944444444444438</v>
      </c>
      <c r="D1038" t="s">
        <v>27</v>
      </c>
      <c r="E1038" s="6">
        <v>1894.448233340911</v>
      </c>
    </row>
    <row r="1039" spans="1:5">
      <c r="A1039" t="s">
        <v>226</v>
      </c>
      <c r="B1039" s="3">
        <f>B1016</f>
        <v>2</v>
      </c>
      <c r="C1039" s="3">
        <f>C1016</f>
        <v>2</v>
      </c>
      <c r="D1039" t="s">
        <v>71</v>
      </c>
      <c r="E1039" s="6">
        <v>12650</v>
      </c>
    </row>
    <row r="1040" spans="1:5">
      <c r="A1040" t="s">
        <v>227</v>
      </c>
      <c r="B1040" s="3">
        <f>B1034</f>
        <v>665.50925925925924</v>
      </c>
      <c r="C1040" s="3">
        <f>C1034</f>
        <v>798.61111111111097</v>
      </c>
      <c r="D1040" t="s">
        <v>27</v>
      </c>
      <c r="E1040" s="6">
        <v>38.427193202408077</v>
      </c>
    </row>
    <row r="1041" spans="1:5">
      <c r="A1041" t="s">
        <v>228</v>
      </c>
      <c r="B1041">
        <v>2</v>
      </c>
      <c r="C1041">
        <v>2</v>
      </c>
      <c r="D1041" t="s">
        <v>71</v>
      </c>
      <c r="E1041" s="6">
        <v>71700</v>
      </c>
    </row>
    <row r="1042" spans="1:5">
      <c r="A1042" t="s">
        <v>229</v>
      </c>
      <c r="B1042">
        <v>3</v>
      </c>
      <c r="C1042">
        <v>3</v>
      </c>
      <c r="D1042" t="s">
        <v>71</v>
      </c>
      <c r="E1042" s="6">
        <v>77500</v>
      </c>
    </row>
    <row r="1043" spans="1:5">
      <c r="A1043" t="s">
        <v>230</v>
      </c>
      <c r="B1043">
        <v>2</v>
      </c>
      <c r="C1043">
        <v>2</v>
      </c>
      <c r="D1043" t="s">
        <v>71</v>
      </c>
      <c r="E1043" s="6">
        <v>45000</v>
      </c>
    </row>
    <row r="1044" spans="1:5">
      <c r="E1044" s="6"/>
    </row>
    <row r="1045" spans="1:5">
      <c r="A1045" t="s">
        <v>217</v>
      </c>
      <c r="B1045" t="s">
        <v>45</v>
      </c>
      <c r="C1045" t="s">
        <v>45</v>
      </c>
      <c r="E1045" s="6"/>
    </row>
    <row r="1046" spans="1:5">
      <c r="A1046" t="s">
        <v>244</v>
      </c>
      <c r="B1046" s="14">
        <f>B1030*$E1030</f>
        <v>352.96751492132364</v>
      </c>
      <c r="C1046" s="14">
        <f>C1030*$E1030</f>
        <v>423.5610179055883</v>
      </c>
      <c r="E1046" s="6"/>
    </row>
    <row r="1047" spans="1:5">
      <c r="A1047" t="s">
        <v>221</v>
      </c>
      <c r="B1047" s="14">
        <f>B1031*$E1031</f>
        <v>1421.8975459046503</v>
      </c>
      <c r="C1047" s="14">
        <f>C1031*$E1031</f>
        <v>1706.2770550855801</v>
      </c>
      <c r="E1047" s="6"/>
    </row>
    <row r="1048" spans="1:5">
      <c r="A1048" t="s">
        <v>222</v>
      </c>
      <c r="B1048" s="14">
        <f>B1033*$E1033</f>
        <v>9181.2020493961973</v>
      </c>
      <c r="C1048" s="14">
        <f>C1033*$E1033</f>
        <v>11017.442459275437</v>
      </c>
      <c r="E1048" s="6"/>
    </row>
    <row r="1049" spans="1:5">
      <c r="A1049" t="s">
        <v>223</v>
      </c>
      <c r="B1049" s="14">
        <f>B1034*$E1034</f>
        <v>809462.72468347533</v>
      </c>
      <c r="C1049" s="14">
        <f>C1034*$E1034</f>
        <v>971355.26962017023</v>
      </c>
      <c r="E1049" s="6"/>
    </row>
    <row r="1050" spans="1:5">
      <c r="A1050" t="s">
        <v>224</v>
      </c>
      <c r="B1050" s="14">
        <f>B1036*$E1036</f>
        <v>178.78857278526456</v>
      </c>
      <c r="C1050" s="14">
        <f>C1036*$E1036</f>
        <v>214.54628734231741</v>
      </c>
      <c r="E1050" s="6"/>
    </row>
    <row r="1051" spans="1:5">
      <c r="A1051" t="s">
        <v>225</v>
      </c>
      <c r="B1051" s="14">
        <f t="shared" ref="B1051:C1056" si="72">B1038*$E1038</f>
        <v>5043.0913619028879</v>
      </c>
      <c r="C1051" s="14">
        <f t="shared" si="72"/>
        <v>6051.7096342834639</v>
      </c>
      <c r="E1051" s="6"/>
    </row>
    <row r="1052" spans="1:5">
      <c r="A1052" t="s">
        <v>226</v>
      </c>
      <c r="B1052" s="14">
        <f t="shared" si="72"/>
        <v>25300</v>
      </c>
      <c r="C1052" s="14">
        <f t="shared" si="72"/>
        <v>25300</v>
      </c>
      <c r="E1052" s="6"/>
    </row>
    <row r="1053" spans="1:5">
      <c r="A1053" t="s">
        <v>227</v>
      </c>
      <c r="B1053" s="14">
        <f t="shared" si="72"/>
        <v>25573.652883547042</v>
      </c>
      <c r="C1053" s="14">
        <f t="shared" si="72"/>
        <v>30688.383460256446</v>
      </c>
      <c r="E1053" s="6"/>
    </row>
    <row r="1054" spans="1:5">
      <c r="A1054" t="s">
        <v>228</v>
      </c>
      <c r="B1054" s="14">
        <f t="shared" si="72"/>
        <v>143400</v>
      </c>
      <c r="C1054" s="14">
        <f t="shared" si="72"/>
        <v>143400</v>
      </c>
      <c r="E1054" s="6"/>
    </row>
    <row r="1055" spans="1:5">
      <c r="A1055" t="s">
        <v>229</v>
      </c>
      <c r="B1055" s="14">
        <f t="shared" si="72"/>
        <v>232500</v>
      </c>
      <c r="C1055" s="14">
        <f t="shared" si="72"/>
        <v>232500</v>
      </c>
      <c r="E1055" s="6"/>
    </row>
    <row r="1056" spans="1:5">
      <c r="A1056" t="s">
        <v>230</v>
      </c>
      <c r="B1056" s="14">
        <f t="shared" si="72"/>
        <v>90000</v>
      </c>
      <c r="C1056" s="14">
        <f t="shared" si="72"/>
        <v>90000</v>
      </c>
      <c r="E1056" s="6"/>
    </row>
    <row r="1057" spans="1:4">
      <c r="A1057" t="s">
        <v>45</v>
      </c>
      <c r="B1057" s="14">
        <f>SUM(B1046:B1056)</f>
        <v>1342414.3246119325</v>
      </c>
      <c r="C1057" s="14">
        <f>SUM(C1046:C1056)</f>
        <v>1512657.1895343191</v>
      </c>
    </row>
    <row r="1058" spans="1:4">
      <c r="A1058" t="s">
        <v>246</v>
      </c>
      <c r="B1058" s="3">
        <v>2014</v>
      </c>
      <c r="C1058" s="3">
        <v>2014</v>
      </c>
    </row>
    <row r="1059" spans="1:4">
      <c r="A1059" t="str">
        <f>Calculations!$B$128&amp;" USD"</f>
        <v>2024 USD</v>
      </c>
      <c r="B1059" s="14">
        <f>B1057*Calculations!$B$145</f>
        <v>1685166.8796454719</v>
      </c>
      <c r="C1059" s="14">
        <f>C1057*Calculations!$B$145</f>
        <v>1898877.0823774771</v>
      </c>
    </row>
    <row r="1060" spans="1:4">
      <c r="B1060" s="14"/>
      <c r="C1060" s="14"/>
    </row>
    <row r="1061" spans="1:4">
      <c r="A1061" t="s">
        <v>56</v>
      </c>
      <c r="B1061" s="3">
        <f>B1034</f>
        <v>665.50925925925924</v>
      </c>
      <c r="C1061" s="3">
        <f>C1034</f>
        <v>798.61111111111097</v>
      </c>
      <c r="D1061" t="s">
        <v>27</v>
      </c>
    </row>
    <row r="1062" spans="1:4">
      <c r="A1062" t="s">
        <v>786</v>
      </c>
      <c r="B1062" s="3">
        <f>SQRT(B1061)</f>
        <v>25.797466140287096</v>
      </c>
      <c r="C1062" s="3">
        <f>SQRT(C1061)</f>
        <v>28.259708263021949</v>
      </c>
      <c r="D1062" t="s">
        <v>36</v>
      </c>
    </row>
    <row r="1063" spans="1:4">
      <c r="A1063" t="s">
        <v>789</v>
      </c>
      <c r="B1063" s="3">
        <f>4*B1062</f>
        <v>103.18986456114838</v>
      </c>
      <c r="C1063" s="3">
        <f>4*C1062</f>
        <v>113.0388330520878</v>
      </c>
      <c r="D1063" t="s">
        <v>36</v>
      </c>
    </row>
    <row r="1064" spans="1:4">
      <c r="A1064" t="s">
        <v>57</v>
      </c>
      <c r="B1064">
        <v>8.6</v>
      </c>
      <c r="C1064">
        <v>8.6</v>
      </c>
      <c r="D1064" t="s">
        <v>36</v>
      </c>
    </row>
    <row r="1065" spans="1:4">
      <c r="A1065" t="s">
        <v>788</v>
      </c>
      <c r="B1065" s="5">
        <f>(4/12)*$A$52</f>
        <v>0.1016</v>
      </c>
      <c r="C1065" s="5">
        <f>(4/12)*$A$52</f>
        <v>0.1016</v>
      </c>
      <c r="D1065" t="s">
        <v>36</v>
      </c>
    </row>
    <row r="1066" spans="1:4">
      <c r="A1066" t="s">
        <v>790</v>
      </c>
      <c r="B1066" s="3">
        <f>B1063*B1064*B1065</f>
        <v>90.163176058949006</v>
      </c>
      <c r="C1066" s="3">
        <f>C1063*C1064*C1065</f>
        <v>98.768810767592214</v>
      </c>
      <c r="D1066" t="s">
        <v>28</v>
      </c>
    </row>
    <row r="1067" spans="1:4">
      <c r="A1067" t="s">
        <v>65</v>
      </c>
      <c r="B1067" s="61">
        <f>1*$A$52</f>
        <v>0.30480000000000002</v>
      </c>
      <c r="C1067" s="61">
        <f>1*$A$52</f>
        <v>0.30480000000000002</v>
      </c>
      <c r="D1067" t="s">
        <v>36</v>
      </c>
    </row>
    <row r="1068" spans="1:4">
      <c r="A1068" t="s">
        <v>791</v>
      </c>
      <c r="B1068" s="62">
        <f>B1067*B1061</f>
        <v>202.84722222222223</v>
      </c>
      <c r="C1068" s="62">
        <f>C1067*C1061</f>
        <v>243.41666666666663</v>
      </c>
      <c r="D1068" t="s">
        <v>28</v>
      </c>
    </row>
    <row r="1069" spans="1:4">
      <c r="A1069" t="s">
        <v>68</v>
      </c>
      <c r="B1069" s="2">
        <f>B1068+B1066</f>
        <v>293.01039828117121</v>
      </c>
      <c r="C1069" s="2">
        <f>C1068+C1066</f>
        <v>342.18547743425881</v>
      </c>
      <c r="D1069" t="s">
        <v>28</v>
      </c>
    </row>
    <row r="1070" spans="1:4">
      <c r="B1070" s="2">
        <f>(B1069*$B$79)/1000</f>
        <v>692.38357113840755</v>
      </c>
      <c r="C1070" s="2">
        <f>(C1069*$B$79)/1000</f>
        <v>808.58428317715357</v>
      </c>
      <c r="D1070" t="s">
        <v>2</v>
      </c>
    </row>
    <row r="1071" spans="1:4">
      <c r="A1071" t="s">
        <v>773</v>
      </c>
      <c r="B1071" s="2">
        <f>B1070*$B$81</f>
        <v>67.058152874405238</v>
      </c>
      <c r="C1071" s="2">
        <f>C1070*$B$81</f>
        <v>78.312326769948612</v>
      </c>
      <c r="D1071" t="s">
        <v>2</v>
      </c>
    </row>
    <row r="1072" spans="1:4">
      <c r="A1072" t="s">
        <v>793</v>
      </c>
      <c r="B1072" s="15">
        <v>0.01</v>
      </c>
      <c r="C1072" s="15">
        <v>0.01</v>
      </c>
    </row>
    <row r="1073" spans="1:4">
      <c r="A1073" t="s">
        <v>794</v>
      </c>
      <c r="B1073" s="4">
        <f>B1072*B1069</f>
        <v>2.9301039828117119</v>
      </c>
      <c r="C1073" s="4">
        <f>C1072*C1069</f>
        <v>3.421854774342588</v>
      </c>
      <c r="D1073" t="s">
        <v>28</v>
      </c>
    </row>
    <row r="1074" spans="1:4">
      <c r="B1074" s="3">
        <f>B1073*($B$85/1000)</f>
        <v>22.708305866790766</v>
      </c>
      <c r="C1074" s="3">
        <f>C1073*($B$85/1000)</f>
        <v>26.519374501155056</v>
      </c>
      <c r="D1074" t="s">
        <v>2</v>
      </c>
    </row>
    <row r="1075" spans="1:4">
      <c r="A1075" t="s">
        <v>787</v>
      </c>
      <c r="B1075" s="5">
        <v>0.9</v>
      </c>
      <c r="C1075" s="5">
        <v>0.9</v>
      </c>
      <c r="D1075" t="s">
        <v>58</v>
      </c>
    </row>
    <row r="1076" spans="1:4">
      <c r="A1076" t="s">
        <v>796</v>
      </c>
      <c r="B1076" s="4">
        <f>(B1075/1000)*B1061</f>
        <v>0.59895833333333326</v>
      </c>
      <c r="C1076" s="4">
        <f>(C1075/1000)*C1061</f>
        <v>0.71874999999999989</v>
      </c>
      <c r="D1076" t="s">
        <v>28</v>
      </c>
    </row>
    <row r="1077" spans="1:4">
      <c r="B1077" s="4">
        <f>B1076*($B$85/1000)</f>
        <v>4.641927083333333</v>
      </c>
      <c r="C1077" s="4">
        <f>C1076*($B$85/1000)</f>
        <v>5.5703124999999991</v>
      </c>
      <c r="D1077" t="s">
        <v>2</v>
      </c>
    </row>
    <row r="1078" spans="1:4">
      <c r="A1078" t="s">
        <v>795</v>
      </c>
      <c r="B1078" s="4">
        <v>15</v>
      </c>
      <c r="C1078" s="4">
        <v>15</v>
      </c>
      <c r="D1078" t="s">
        <v>66</v>
      </c>
    </row>
    <row r="1079" spans="1:4">
      <c r="B1079" s="4">
        <f>B1078*Calculations!$A$52</f>
        <v>4.5720000000000001</v>
      </c>
      <c r="C1079" s="4">
        <f>C1078*Calculations!$A$52</f>
        <v>4.5720000000000001</v>
      </c>
      <c r="D1079" t="s">
        <v>36</v>
      </c>
    </row>
    <row r="1080" spans="1:4">
      <c r="A1080" t="s">
        <v>797</v>
      </c>
      <c r="B1080">
        <f>ROUND(B1062/B1079,0)^2</f>
        <v>36</v>
      </c>
      <c r="C1080">
        <f>ROUND(C1062/C1079,0)^2</f>
        <v>36</v>
      </c>
      <c r="D1080" t="s">
        <v>38</v>
      </c>
    </row>
    <row r="1081" spans="1:4">
      <c r="A1081" t="s">
        <v>798</v>
      </c>
      <c r="B1081">
        <f>B1064</f>
        <v>8.6</v>
      </c>
      <c r="C1081">
        <f>C1064</f>
        <v>8.6</v>
      </c>
      <c r="D1081" t="s">
        <v>36</v>
      </c>
    </row>
    <row r="1082" spans="1:4">
      <c r="A1082" t="s">
        <v>799</v>
      </c>
      <c r="B1082">
        <f>B1080*B1081</f>
        <v>309.59999999999997</v>
      </c>
      <c r="C1082" s="3">
        <f>C1080*C1081</f>
        <v>309.59999999999997</v>
      </c>
      <c r="D1082" t="s">
        <v>36</v>
      </c>
    </row>
    <row r="1083" spans="1:4">
      <c r="A1083" t="s">
        <v>800</v>
      </c>
      <c r="B1083" s="3">
        <f>178*(1/$A$48)*(1/$A$52)</f>
        <v>264.89349698013081</v>
      </c>
      <c r="C1083" s="3">
        <f>178*(1/$A$48)*(1/$A$52)</f>
        <v>264.89349698013081</v>
      </c>
      <c r="D1083" t="s">
        <v>801</v>
      </c>
    </row>
    <row r="1084" spans="1:4">
      <c r="A1084" t="s">
        <v>802</v>
      </c>
      <c r="B1084" s="3">
        <f>B1082*(B1083/1000)</f>
        <v>82.01102666504849</v>
      </c>
      <c r="C1084" s="3">
        <f>C1082*(C1083/1000)</f>
        <v>82.01102666504849</v>
      </c>
      <c r="D1084" t="s">
        <v>2</v>
      </c>
    </row>
    <row r="1085" spans="1:4">
      <c r="A1085" t="s">
        <v>792</v>
      </c>
      <c r="B1085" s="3">
        <f>B1077+B1084+B1074</f>
        <v>109.36125961517259</v>
      </c>
      <c r="C1085" s="3">
        <f>C1077+C1084+C1074</f>
        <v>114.10071366620355</v>
      </c>
      <c r="D1085" t="s">
        <v>2</v>
      </c>
    </row>
    <row r="1086" spans="1:4">
      <c r="A1086" t="s">
        <v>245</v>
      </c>
      <c r="B1086" s="3">
        <f>B1085*Calculations!$B$83</f>
        <v>268.06199432870602</v>
      </c>
      <c r="C1086" s="3">
        <f>C1085*Calculations!$B$83</f>
        <v>279.67915665309062</v>
      </c>
      <c r="D1086" t="s">
        <v>2</v>
      </c>
    </row>
    <row r="1087" spans="1:4">
      <c r="A1087" t="s">
        <v>755</v>
      </c>
      <c r="B1087" s="3">
        <f>B1086+B1071</f>
        <v>335.12014720311129</v>
      </c>
      <c r="C1087" s="3">
        <f>C1086+C1071</f>
        <v>357.9914834230392</v>
      </c>
      <c r="D1087" t="s">
        <v>21</v>
      </c>
    </row>
    <row r="1088" spans="1:4">
      <c r="B1088" s="3"/>
      <c r="C1088" s="3"/>
    </row>
    <row r="1089" spans="1:6">
      <c r="A1089" t="s">
        <v>1018</v>
      </c>
      <c r="B1089" s="6">
        <v>0.71</v>
      </c>
      <c r="C1089" s="6">
        <v>0.71</v>
      </c>
      <c r="D1089" t="s">
        <v>1019</v>
      </c>
    </row>
    <row r="1090" spans="1:6">
      <c r="A1090" t="s">
        <v>1020</v>
      </c>
      <c r="B1090" s="3">
        <f>(B1061*B1064)/$A$58</f>
        <v>202119.24414092716</v>
      </c>
      <c r="C1090" s="3">
        <f>(C1061*C1064)/$A$58</f>
        <v>242543.09296911251</v>
      </c>
      <c r="D1090" t="s">
        <v>1021</v>
      </c>
    </row>
    <row r="1091" spans="1:6">
      <c r="A1091" t="s">
        <v>1022</v>
      </c>
      <c r="B1091" s="14">
        <f>B1089*B1090</f>
        <v>143504.66334005827</v>
      </c>
      <c r="C1091" s="14">
        <f>C1089*C1090</f>
        <v>172205.59600806987</v>
      </c>
      <c r="D1091" t="s">
        <v>1023</v>
      </c>
    </row>
    <row r="1093" spans="1:6">
      <c r="A1093" s="81" t="s">
        <v>377</v>
      </c>
    </row>
    <row r="1094" spans="1:6">
      <c r="A1094" t="s">
        <v>757</v>
      </c>
      <c r="B1094" s="14">
        <f>IF('User Interface'!$B$8=Options!$E$4,0,IF('User Interface'!$B$12=Options!$G$5,0,IF('User Interface'!$B$9=Options!$F$4,C1059,B1059)))</f>
        <v>1685166.8796454719</v>
      </c>
      <c r="C1094" t="str">
        <f>$B$128&amp;" USD"</f>
        <v>2024 USD</v>
      </c>
    </row>
    <row r="1095" spans="1:6">
      <c r="A1095" t="s">
        <v>653</v>
      </c>
      <c r="B1095" s="3">
        <f>B755</f>
        <v>0</v>
      </c>
      <c r="C1095" t="s">
        <v>38</v>
      </c>
    </row>
    <row r="1096" spans="1:6">
      <c r="A1096" t="s">
        <v>756</v>
      </c>
      <c r="B1096" s="14">
        <f>B1094*B1095</f>
        <v>0</v>
      </c>
      <c r="C1096" t="str">
        <f>$B$128&amp;" USD"</f>
        <v>2024 USD</v>
      </c>
    </row>
    <row r="1097" spans="1:6">
      <c r="A1097" t="s">
        <v>758</v>
      </c>
      <c r="B1097" s="3">
        <f>IF('User Interface'!$B$8=Options!$E$4,0,IF('User Interface'!$B$12=Options!$G$5,0,IF('User Interface'!$B$9=Options!$F$4,C1087,B1087)))*B1095</f>
        <v>0</v>
      </c>
      <c r="C1097" t="s">
        <v>781</v>
      </c>
    </row>
    <row r="1098" spans="1:6">
      <c r="A1098" t="s">
        <v>1022</v>
      </c>
      <c r="B1098" s="14">
        <f>IF('User Interface'!$B$8=Options!$E$4,0,IF('User Interface'!$B$12=Options!$G$5,0,IF('User Interface'!$B$9=Options!$F$4,C1091,B1091)))*B1095</f>
        <v>0</v>
      </c>
      <c r="C1098" t="str">
        <f>$B$128&amp;" USD"</f>
        <v>2024 USD</v>
      </c>
    </row>
    <row r="1099" spans="1:6">
      <c r="B1099" s="3"/>
    </row>
    <row r="1100" spans="1:6" s="30" customFormat="1">
      <c r="A1100" s="30" t="s">
        <v>62</v>
      </c>
      <c r="B1100" s="39"/>
    </row>
    <row r="1101" spans="1:6">
      <c r="B1101" s="51" t="s">
        <v>514</v>
      </c>
      <c r="C1101" s="19" t="s">
        <v>646</v>
      </c>
      <c r="D1101" s="19" t="s">
        <v>471</v>
      </c>
      <c r="E1101" s="19" t="s">
        <v>648</v>
      </c>
    </row>
    <row r="1102" spans="1:6">
      <c r="A1102" t="s">
        <v>669</v>
      </c>
      <c r="B1102" s="3">
        <f>B605+B607</f>
        <v>2</v>
      </c>
      <c r="C1102" s="3">
        <f>B638+B642</f>
        <v>2</v>
      </c>
      <c r="D1102" s="3">
        <f>B699+B700</f>
        <v>2</v>
      </c>
      <c r="E1102" s="3">
        <f>B734+B735</f>
        <v>4</v>
      </c>
      <c r="F1102" t="s">
        <v>38</v>
      </c>
    </row>
    <row r="1103" spans="1:6">
      <c r="B1103" s="3">
        <f>$A$65*$A$64*B1102</f>
        <v>17532</v>
      </c>
      <c r="C1103" s="3">
        <f>$A$65*$A$64*C1102</f>
        <v>17532</v>
      </c>
      <c r="D1103" s="3">
        <f>$A$65*$A$64*D1102</f>
        <v>17532</v>
      </c>
      <c r="E1103" s="3">
        <f>$A$65*$A$64*E1102</f>
        <v>35064</v>
      </c>
      <c r="F1103" t="s">
        <v>4</v>
      </c>
    </row>
    <row r="1104" spans="1:6">
      <c r="A1104" t="s">
        <v>983</v>
      </c>
      <c r="B1104" s="3">
        <f>B608+B609</f>
        <v>0</v>
      </c>
      <c r="C1104" s="3">
        <f>B649+B653</f>
        <v>2</v>
      </c>
      <c r="D1104" s="3">
        <f>B701+B702</f>
        <v>0</v>
      </c>
      <c r="E1104" s="3">
        <f>B736+B737</f>
        <v>0</v>
      </c>
      <c r="F1104" t="s">
        <v>38</v>
      </c>
    </row>
    <row r="1105" spans="1:6">
      <c r="B1105" s="3">
        <f>$A$65*$A$64*B1104</f>
        <v>0</v>
      </c>
      <c r="C1105" s="3">
        <f>$A$65*$A$64*C1104</f>
        <v>17532</v>
      </c>
      <c r="D1105" s="3">
        <f t="shared" ref="D1105" si="73">$A$65*$A$64*D1104</f>
        <v>0</v>
      </c>
      <c r="E1105" s="3">
        <f>$A$65*$A$64*E1104</f>
        <v>0</v>
      </c>
      <c r="F1105" t="s">
        <v>4</v>
      </c>
    </row>
    <row r="1106" spans="1:6">
      <c r="A1106" t="s">
        <v>982</v>
      </c>
      <c r="B1106" s="3">
        <v>0</v>
      </c>
      <c r="C1106" s="3">
        <f>B650+B654</f>
        <v>2</v>
      </c>
      <c r="D1106" s="3">
        <f>B703</f>
        <v>0</v>
      </c>
      <c r="E1106" s="3">
        <f>B738</f>
        <v>0</v>
      </c>
      <c r="F1106" t="s">
        <v>38</v>
      </c>
    </row>
    <row r="1107" spans="1:6">
      <c r="B1107" s="3">
        <f>$A$65*$A$64*B1106</f>
        <v>0</v>
      </c>
      <c r="C1107" s="3">
        <f>$A$65*$A$64*C1106</f>
        <v>17532</v>
      </c>
      <c r="D1107" s="3">
        <f>$A$65*$A$64*D1106</f>
        <v>0</v>
      </c>
      <c r="E1107" s="3">
        <f>$A$65*$A$64*E1106</f>
        <v>0</v>
      </c>
      <c r="F1107" t="s">
        <v>4</v>
      </c>
    </row>
    <row r="1108" spans="1:6">
      <c r="A1108" t="s">
        <v>668</v>
      </c>
      <c r="B1108" s="3">
        <f>B626</f>
        <v>12</v>
      </c>
      <c r="C1108" s="3">
        <f>B671</f>
        <v>9</v>
      </c>
      <c r="D1108">
        <v>0</v>
      </c>
      <c r="E1108">
        <v>0</v>
      </c>
      <c r="F1108" t="s">
        <v>38</v>
      </c>
    </row>
    <row r="1109" spans="1:6">
      <c r="B1109" s="3">
        <f>B1108*B627*((SUM(B622:B623)-B602)/$A$63)</f>
        <v>72644.620575577181</v>
      </c>
      <c r="C1109" s="3">
        <f>C1108*B672*((SUM(B667:B668)-B648)/$A$63)</f>
        <v>63763.528977689908</v>
      </c>
      <c r="D1109" s="3">
        <f t="shared" ref="D1109:E1109" si="74">$A$65*$A$64*D1108</f>
        <v>0</v>
      </c>
      <c r="E1109" s="3">
        <f t="shared" si="74"/>
        <v>0</v>
      </c>
      <c r="F1109" t="s">
        <v>4</v>
      </c>
    </row>
    <row r="1110" spans="1:6">
      <c r="A1110" t="s">
        <v>671</v>
      </c>
      <c r="B1110" s="3">
        <f>B621</f>
        <v>0</v>
      </c>
      <c r="C1110" s="3">
        <f>B666</f>
        <v>0</v>
      </c>
      <c r="D1110">
        <v>0</v>
      </c>
      <c r="E1110">
        <v>0</v>
      </c>
      <c r="F1110" t="s">
        <v>38</v>
      </c>
    </row>
    <row r="1111" spans="1:6">
      <c r="B1111" s="3">
        <f>$A$65*$A$64*B1110</f>
        <v>0</v>
      </c>
      <c r="C1111" s="3">
        <f>$A$65*$A$64*C1110</f>
        <v>0</v>
      </c>
      <c r="D1111" s="3">
        <f t="shared" ref="D1111:E1111" si="75">$A$65*$A$64*D1110</f>
        <v>0</v>
      </c>
      <c r="E1111" s="3">
        <f t="shared" si="75"/>
        <v>0</v>
      </c>
      <c r="F1111" t="s">
        <v>4</v>
      </c>
    </row>
    <row r="1112" spans="1:6">
      <c r="B1112" s="3"/>
      <c r="C1112" s="3"/>
      <c r="D1112" s="3"/>
      <c r="E1112" s="3"/>
    </row>
    <row r="1113" spans="1:6">
      <c r="A1113" t="s">
        <v>986</v>
      </c>
      <c r="B1113" s="3"/>
      <c r="C1113" s="3"/>
      <c r="D1113" s="3"/>
      <c r="E1113" s="3"/>
    </row>
    <row r="1114" spans="1:6">
      <c r="A1114" t="s">
        <v>987</v>
      </c>
      <c r="B1114" s="14">
        <f>$B$30</f>
        <v>95944.892287949304</v>
      </c>
      <c r="C1114" s="3" t="s">
        <v>3</v>
      </c>
      <c r="D1114" s="3"/>
      <c r="E1114" s="3"/>
    </row>
    <row r="1115" spans="1:6">
      <c r="A1115" t="s">
        <v>988</v>
      </c>
      <c r="B1115" s="11">
        <v>5.0000000000000001E-3</v>
      </c>
      <c r="C1115" s="3" t="s">
        <v>989</v>
      </c>
      <c r="D1115" s="3"/>
      <c r="E1115" s="3"/>
    </row>
    <row r="1116" spans="1:6">
      <c r="B1116" s="14">
        <f>B1115*B363</f>
        <v>82652.84832781351</v>
      </c>
      <c r="C1116" s="3" t="s">
        <v>3</v>
      </c>
      <c r="D1116" s="3"/>
      <c r="E1116" s="3"/>
    </row>
    <row r="1117" spans="1:6">
      <c r="A1117" t="s">
        <v>991</v>
      </c>
      <c r="B1117" s="14">
        <f>MAX(B1116,B1114)</f>
        <v>95944.892287949304</v>
      </c>
      <c r="C1117" s="3" t="s">
        <v>3</v>
      </c>
      <c r="D1117" s="3"/>
      <c r="E1117" s="3"/>
    </row>
    <row r="1118" spans="1:6">
      <c r="B1118" s="14"/>
      <c r="C1118" s="3"/>
      <c r="D1118" s="3"/>
      <c r="E1118" s="3"/>
    </row>
    <row r="1119" spans="1:6">
      <c r="A1119" t="s">
        <v>990</v>
      </c>
      <c r="B1119" s="3"/>
      <c r="C1119" s="3"/>
      <c r="D1119" s="3"/>
      <c r="E1119" s="3"/>
    </row>
    <row r="1120" spans="1:6">
      <c r="A1120" t="s">
        <v>987</v>
      </c>
      <c r="B1120" s="14">
        <f>$B$30</f>
        <v>95944.892287949304</v>
      </c>
      <c r="C1120" s="3" t="s">
        <v>3</v>
      </c>
      <c r="D1120" s="3"/>
      <c r="E1120" s="3"/>
    </row>
    <row r="1121" spans="1:5">
      <c r="A1121" t="s">
        <v>988</v>
      </c>
      <c r="B1121" s="11">
        <v>5.0000000000000001E-3</v>
      </c>
      <c r="C1121" s="3" t="s">
        <v>989</v>
      </c>
      <c r="D1121" s="3"/>
      <c r="E1121" s="3"/>
    </row>
    <row r="1122" spans="1:5">
      <c r="B1122" s="14">
        <f>B1121*B378</f>
        <v>23299.643392896633</v>
      </c>
      <c r="C1122" s="3" t="s">
        <v>3</v>
      </c>
    </row>
    <row r="1123" spans="1:5">
      <c r="A1123" t="s">
        <v>991</v>
      </c>
      <c r="B1123" s="14">
        <f>MAX(B1122,B1120)</f>
        <v>95944.892287949304</v>
      </c>
      <c r="C1123" s="3" t="s">
        <v>3</v>
      </c>
    </row>
    <row r="1124" spans="1:5">
      <c r="B1124" s="14"/>
      <c r="C1124" s="3"/>
    </row>
    <row r="1125" spans="1:5">
      <c r="A1125" s="81" t="s">
        <v>377</v>
      </c>
      <c r="B1125" s="3"/>
    </row>
    <row r="1126" spans="1:5">
      <c r="A1126" t="s">
        <v>678</v>
      </c>
      <c r="B1126" s="3">
        <f>IF('User Interface'!$B$8=Options!$E$4,IF('User Interface'!$B$9=Options!$F$4,Calculations!E1103,Calculations!D1103),IF('User Interface'!$B$9=Options!$F$4,Calculations!$C1103,Calculations!$B1103))</f>
        <v>17532</v>
      </c>
      <c r="C1126" t="s">
        <v>4</v>
      </c>
    </row>
    <row r="1127" spans="1:5">
      <c r="B1127" s="14">
        <f>B1126*$B$33</f>
        <v>810944.63703432411</v>
      </c>
      <c r="C1127" t="s">
        <v>3</v>
      </c>
    </row>
    <row r="1128" spans="1:5">
      <c r="A1128" t="s">
        <v>979</v>
      </c>
      <c r="B1128" s="3">
        <f>IF('User Interface'!$B$8=Options!$E$4,IF('User Interface'!$B$9=Options!$F$4,Calculations!E1105,Calculations!D1105),IF('User Interface'!$B$9=Options!$F$4,Calculations!$C1105,Calculations!$B1105))</f>
        <v>0</v>
      </c>
      <c r="C1128" t="s">
        <v>4</v>
      </c>
    </row>
    <row r="1129" spans="1:5">
      <c r="B1129" s="14">
        <f>B1128*$B$35</f>
        <v>0</v>
      </c>
      <c r="C1129" t="s">
        <v>3</v>
      </c>
    </row>
    <row r="1130" spans="1:5">
      <c r="A1130" t="s">
        <v>679</v>
      </c>
      <c r="B1130" s="3">
        <f>IF('User Interface'!$B$8=Options!$E$4,IF('User Interface'!$B$9=Options!$F$4,Calculations!E1107,Calculations!D1107),IF('User Interface'!$B$9=Options!$F$4,Calculations!$C1107,Calculations!$B1107))</f>
        <v>0</v>
      </c>
      <c r="C1130" t="s">
        <v>4</v>
      </c>
    </row>
    <row r="1131" spans="1:5">
      <c r="B1131" s="14">
        <f>B1130*$B$29</f>
        <v>0</v>
      </c>
      <c r="C1131" t="s">
        <v>3</v>
      </c>
    </row>
    <row r="1132" spans="1:5">
      <c r="A1132" t="s">
        <v>39</v>
      </c>
      <c r="B1132" s="3">
        <f>IF('User Interface'!$B$8=Options!$E$4,IF('User Interface'!$B$9=Options!$F$4,Calculations!E1109,Calculations!D1109),IF('User Interface'!$B$9=Options!$F$4,Calculations!$C1109,Calculations!$B1109))</f>
        <v>72644.620575577181</v>
      </c>
      <c r="C1132" t="s">
        <v>4</v>
      </c>
    </row>
    <row r="1133" spans="1:5">
      <c r="B1133" s="14">
        <f>B1132*$B$27</f>
        <v>2508803.7088684752</v>
      </c>
      <c r="C1133" t="s">
        <v>3</v>
      </c>
    </row>
    <row r="1134" spans="1:5">
      <c r="A1134" t="s">
        <v>680</v>
      </c>
      <c r="B1134" s="3">
        <f>IF('User Interface'!$B$8=Options!$E$4,IF('User Interface'!$B$9=Options!$F$4,Calculations!E1111,Calculations!D1111),IF('User Interface'!$B$9=Options!$F$4,Calculations!$C1111,Calculations!$B1111))</f>
        <v>0</v>
      </c>
      <c r="C1134" t="s">
        <v>4</v>
      </c>
    </row>
    <row r="1135" spans="1:5">
      <c r="B1135" s="14">
        <f>B1134*$B$35</f>
        <v>0</v>
      </c>
      <c r="C1135" t="s">
        <v>3</v>
      </c>
    </row>
    <row r="1136" spans="1:5">
      <c r="A1136" t="s">
        <v>992</v>
      </c>
      <c r="B1136" s="14">
        <f>IF('User Interface'!$B$15="Yes",B1117,0)</f>
        <v>95944.892287949304</v>
      </c>
      <c r="C1136" t="s">
        <v>3</v>
      </c>
    </row>
    <row r="1137" spans="1:4">
      <c r="A1137" t="s">
        <v>993</v>
      </c>
      <c r="B1137" s="14">
        <f>IF('User Interface'!$B$16="Yes",B1123,0)</f>
        <v>95944.892287949304</v>
      </c>
      <c r="C1137" t="s">
        <v>3</v>
      </c>
    </row>
    <row r="1138" spans="1:4">
      <c r="A1138" t="s">
        <v>827</v>
      </c>
      <c r="B1138" s="14">
        <f>SUM(B1127,B1129,B1131,B1133,B1135:B1137)</f>
        <v>3511638.1304786974</v>
      </c>
      <c r="C1138" t="s">
        <v>3</v>
      </c>
    </row>
    <row r="1140" spans="1:4" s="30" customFormat="1">
      <c r="A1140" s="30" t="s">
        <v>803</v>
      </c>
      <c r="B1140" s="39"/>
    </row>
    <row r="1141" spans="1:4">
      <c r="A1141" t="s">
        <v>377</v>
      </c>
      <c r="B1141" s="3"/>
    </row>
    <row r="1142" spans="1:4">
      <c r="A1142" t="s">
        <v>211</v>
      </c>
      <c r="B1142" s="3">
        <f>(B357*$B$4*1000)*($B$14/1000000)</f>
        <v>5852.4387096774199</v>
      </c>
      <c r="C1142" t="s">
        <v>809</v>
      </c>
    </row>
    <row r="1143" spans="1:4">
      <c r="A1143" t="s">
        <v>804</v>
      </c>
      <c r="B1143" s="3">
        <f>B1007/$B$9</f>
        <v>4.7765919195213353</v>
      </c>
      <c r="C1143" t="s">
        <v>809</v>
      </c>
    </row>
    <row r="1144" spans="1:4">
      <c r="A1144" t="s">
        <v>103</v>
      </c>
      <c r="B1144" s="3">
        <f>B495/$B$9</f>
        <v>92.615037333333319</v>
      </c>
      <c r="C1144" t="s">
        <v>809</v>
      </c>
      <c r="D1144" s="222"/>
    </row>
    <row r="1145" spans="1:4">
      <c r="A1145" t="s">
        <v>805</v>
      </c>
      <c r="B1145" s="3">
        <f>B516/$B$9</f>
        <v>0</v>
      </c>
      <c r="C1145" t="s">
        <v>809</v>
      </c>
    </row>
    <row r="1146" spans="1:4">
      <c r="A1146" t="s">
        <v>806</v>
      </c>
      <c r="B1146" s="3">
        <f>B571/$B$9</f>
        <v>19.543563469057013</v>
      </c>
      <c r="C1146" t="s">
        <v>809</v>
      </c>
    </row>
    <row r="1147" spans="1:4">
      <c r="A1147" t="s">
        <v>14</v>
      </c>
      <c r="B1147" s="3">
        <f>B893</f>
        <v>4653.7772890266142</v>
      </c>
      <c r="C1147" t="s">
        <v>809</v>
      </c>
    </row>
    <row r="1148" spans="1:4">
      <c r="A1148" t="s">
        <v>727</v>
      </c>
      <c r="B1148" s="3">
        <f>B1097/$B$9</f>
        <v>0</v>
      </c>
      <c r="C1148" t="s">
        <v>809</v>
      </c>
    </row>
    <row r="1149" spans="1:4">
      <c r="A1149" t="s">
        <v>808</v>
      </c>
      <c r="B1149" s="3">
        <f>B794</f>
        <v>0</v>
      </c>
      <c r="C1149" t="s">
        <v>809</v>
      </c>
    </row>
    <row r="1150" spans="1:4">
      <c r="A1150" t="s">
        <v>807</v>
      </c>
      <c r="B1150" s="3">
        <f>B1008/$B$9</f>
        <v>4.7765919195213353</v>
      </c>
      <c r="C1150" t="s">
        <v>809</v>
      </c>
    </row>
    <row r="1151" spans="1:4">
      <c r="A1151" t="s">
        <v>61</v>
      </c>
      <c r="B1151" s="3">
        <f>(B444*$B$4*1000)*($B$14/1000000)</f>
        <v>158.32854180311878</v>
      </c>
      <c r="C1151" t="s">
        <v>809</v>
      </c>
    </row>
    <row r="1152" spans="1:4">
      <c r="A1152" t="s">
        <v>45</v>
      </c>
      <c r="B1152" s="3">
        <f>SUM(B1142:B1151)</f>
        <v>10786.256325148586</v>
      </c>
      <c r="C1152" t="s">
        <v>809</v>
      </c>
    </row>
    <row r="1153" spans="1:3">
      <c r="B1153" s="3">
        <f>B1152*B9</f>
        <v>323587.68975445756</v>
      </c>
      <c r="C1153" t="s">
        <v>781</v>
      </c>
    </row>
    <row r="1154" spans="1:3">
      <c r="A1154" t="s">
        <v>812</v>
      </c>
      <c r="B1154" s="15">
        <f>($B$4-(B1152/1000))/$B$4</f>
        <v>0.9640458122495047</v>
      </c>
      <c r="C1154" s="17" t="s">
        <v>563</v>
      </c>
    </row>
    <row r="1156" spans="1:3" s="30" customFormat="1">
      <c r="A1156" s="30" t="s">
        <v>870</v>
      </c>
      <c r="B1156" s="63"/>
    </row>
    <row r="1157" spans="1:3">
      <c r="A1157" t="s">
        <v>105</v>
      </c>
      <c r="B1157" s="14">
        <f>IF('User Interface'!$B$15="Yes",Calculations!$B$363,0)</f>
        <v>16530569.6655627</v>
      </c>
    </row>
    <row r="1158" spans="1:3">
      <c r="A1158" t="s">
        <v>728</v>
      </c>
      <c r="B1158" s="14">
        <f>Calculations!$B$1003</f>
        <v>4497044.2375653535</v>
      </c>
    </row>
    <row r="1159" spans="1:3">
      <c r="A1159" t="s">
        <v>103</v>
      </c>
      <c r="B1159" s="14">
        <f>Calculations!$B$487</f>
        <v>14047174.971499998</v>
      </c>
    </row>
    <row r="1160" spans="1:3">
      <c r="A1160" t="s">
        <v>732</v>
      </c>
      <c r="B1160" s="14">
        <f>Calculations!$B$514</f>
        <v>0</v>
      </c>
    </row>
    <row r="1161" spans="1:3">
      <c r="A1161" t="s">
        <v>737</v>
      </c>
      <c r="B1161" s="14">
        <f>Calculations!B$747</f>
        <v>3980052.299272499</v>
      </c>
    </row>
    <row r="1162" spans="1:3">
      <c r="A1162" t="s">
        <v>727</v>
      </c>
      <c r="B1162" s="14">
        <f>Calculations!$B$1096</f>
        <v>0</v>
      </c>
    </row>
    <row r="1163" spans="1:3">
      <c r="A1163" t="s">
        <v>729</v>
      </c>
      <c r="B1163" s="14">
        <f>Calculations!$B$1004</f>
        <v>4244909.5158541258</v>
      </c>
    </row>
    <row r="1164" spans="1:3">
      <c r="A1164" t="s">
        <v>210</v>
      </c>
      <c r="B1164" s="14">
        <f>IF('User Interface'!$B$16="Yes",Calculations!$B$378,0)</f>
        <v>4659928.6785793267</v>
      </c>
    </row>
    <row r="1165" spans="1:3">
      <c r="A1165" t="s">
        <v>45</v>
      </c>
      <c r="B1165" s="14">
        <f>SUM(B1157:B1164)</f>
        <v>47959679.36833401</v>
      </c>
    </row>
    <row r="1166" spans="1:3">
      <c r="B1166" s="14"/>
    </row>
    <row r="1167" spans="1:3" s="30" customFormat="1">
      <c r="A1167" s="30" t="s">
        <v>1030</v>
      </c>
      <c r="B1167" s="50"/>
    </row>
    <row r="1168" spans="1:3">
      <c r="A1168" t="s">
        <v>1024</v>
      </c>
      <c r="B1168" s="3">
        <f>(B493*B486)+(B517*B513)</f>
        <v>579.8006005570121</v>
      </c>
      <c r="C1168" t="s">
        <v>2</v>
      </c>
    </row>
    <row r="1169" spans="1:4">
      <c r="A1169" t="s">
        <v>1029</v>
      </c>
      <c r="B1169" s="14">
        <v>220</v>
      </c>
      <c r="C1169" t="s">
        <v>1025</v>
      </c>
    </row>
    <row r="1170" spans="1:4">
      <c r="A1170" t="s">
        <v>1028</v>
      </c>
      <c r="B1170" s="14">
        <f>-(B1169/$A$49)*B1168</f>
        <v>-115717.114171642</v>
      </c>
      <c r="C1170" t="s">
        <v>877</v>
      </c>
    </row>
    <row r="1171" spans="1:4">
      <c r="A1171" t="s">
        <v>1027</v>
      </c>
      <c r="B1171" s="14">
        <f>-B567*B568</f>
        <v>-3279647.0693452498</v>
      </c>
      <c r="C1171" t="s">
        <v>877</v>
      </c>
    </row>
    <row r="1172" spans="1:4">
      <c r="A1172" t="s">
        <v>1022</v>
      </c>
      <c r="B1172" s="14">
        <f>B1098</f>
        <v>0</v>
      </c>
      <c r="C1172" t="s">
        <v>877</v>
      </c>
    </row>
    <row r="1173" spans="1:4">
      <c r="A1173" t="s">
        <v>859</v>
      </c>
      <c r="B1173" s="14">
        <f>SUM(B1170:B1172)</f>
        <v>-3395364.1835168917</v>
      </c>
      <c r="C1173" t="s">
        <v>877</v>
      </c>
    </row>
    <row r="1174" spans="1:4">
      <c r="B1174" s="15"/>
    </row>
    <row r="1175" spans="1:4" s="30" customFormat="1">
      <c r="A1175" s="30" t="s">
        <v>871</v>
      </c>
      <c r="B1175" s="63"/>
    </row>
    <row r="1176" spans="1:4">
      <c r="A1176" t="s">
        <v>172</v>
      </c>
      <c r="B1176" s="14">
        <f>$B$358+$B$445</f>
        <v>2527249.0200846419</v>
      </c>
      <c r="C1176" t="s">
        <v>876</v>
      </c>
    </row>
    <row r="1177" spans="1:4">
      <c r="A1177" t="s">
        <v>14</v>
      </c>
      <c r="B1177" s="14">
        <f>$B$892</f>
        <v>1267919.9846769085</v>
      </c>
      <c r="C1177" t="s">
        <v>876</v>
      </c>
    </row>
    <row r="1178" spans="1:4">
      <c r="A1178" t="s">
        <v>1004</v>
      </c>
      <c r="B1178" s="14">
        <f>IF('User Interface'!$B$15="Yes",B362,0)</f>
        <v>39810.774826721747</v>
      </c>
      <c r="C1178" t="s">
        <v>876</v>
      </c>
    </row>
    <row r="1179" spans="1:4">
      <c r="A1179" t="s">
        <v>1011</v>
      </c>
      <c r="B1179" s="14">
        <f>B910</f>
        <v>0</v>
      </c>
      <c r="C1179" t="s">
        <v>876</v>
      </c>
    </row>
    <row r="1180" spans="1:4">
      <c r="A1180" t="s">
        <v>1016</v>
      </c>
      <c r="B1180" s="14">
        <f>B912</f>
        <v>0</v>
      </c>
      <c r="C1180" t="s">
        <v>876</v>
      </c>
    </row>
    <row r="1181" spans="1:4">
      <c r="A1181" t="s">
        <v>15</v>
      </c>
      <c r="B1181" s="14">
        <f>SUM($B$488:$B$489)+($B$36*SUM($B$1157:$B$1158,$B$1162:$B$1164))</f>
        <v>1807833.6318455786</v>
      </c>
      <c r="C1181" t="s">
        <v>876</v>
      </c>
      <c r="D1181" s="14"/>
    </row>
    <row r="1182" spans="1:4">
      <c r="A1182" t="s">
        <v>823</v>
      </c>
      <c r="B1182" s="14">
        <f>SUM($B$490:$B$492)+($B$37*SUM($B$1157:$B$1158,$B$1162:$B$1164))</f>
        <v>678082.68497736449</v>
      </c>
      <c r="C1182" t="s">
        <v>876</v>
      </c>
    </row>
    <row r="1183" spans="1:4">
      <c r="A1183" t="s">
        <v>62</v>
      </c>
      <c r="B1183" s="14">
        <f>$B$1138</f>
        <v>3511638.1304786974</v>
      </c>
      <c r="C1183" t="s">
        <v>876</v>
      </c>
    </row>
    <row r="1184" spans="1:4">
      <c r="A1184" t="s">
        <v>1031</v>
      </c>
      <c r="B1184" s="14">
        <f>B1173</f>
        <v>-3395364.1835168917</v>
      </c>
      <c r="C1184" t="s">
        <v>876</v>
      </c>
    </row>
    <row r="1185" spans="1:3">
      <c r="A1185" t="s">
        <v>45</v>
      </c>
      <c r="B1185" s="14">
        <f>SUM($B$1176:$B$1183)</f>
        <v>9832534.2268899139</v>
      </c>
      <c r="C1185" t="s">
        <v>876</v>
      </c>
    </row>
    <row r="1186" spans="1:3">
      <c r="B1186" s="14">
        <f>(B1185*B9)+B1184</f>
        <v>291580662.62318051</v>
      </c>
      <c r="C1186" t="s">
        <v>877</v>
      </c>
    </row>
    <row r="1188" spans="1:3" s="30" customFormat="1">
      <c r="A1188" s="30" t="s">
        <v>873</v>
      </c>
      <c r="B1188" s="63"/>
    </row>
    <row r="1189" spans="1:3">
      <c r="A1189" t="s">
        <v>1100</v>
      </c>
      <c r="B1189" s="15">
        <f>B1154</f>
        <v>0.9640458122495047</v>
      </c>
      <c r="C1189" s="17" t="s">
        <v>875</v>
      </c>
    </row>
    <row r="1190" spans="1:3">
      <c r="A1190" t="s">
        <v>874</v>
      </c>
      <c r="B1190" s="3">
        <f>B1189*B10</f>
        <v>8676412.3102455419</v>
      </c>
      <c r="C1190" t="s">
        <v>21</v>
      </c>
    </row>
    <row r="1191" spans="1:3">
      <c r="A1191" t="s">
        <v>6</v>
      </c>
      <c r="B1191" s="14">
        <f>B1165</f>
        <v>47959679.36833401</v>
      </c>
      <c r="C1191" t="str">
        <f t="shared" ref="C1191:C1195" si="76">$B$128&amp;" USD"</f>
        <v>2024 USD</v>
      </c>
    </row>
    <row r="1192" spans="1:3">
      <c r="B1192" s="6">
        <f>B1191/$B$1190</f>
        <v>5.5275933938386981</v>
      </c>
      <c r="C1192" t="s">
        <v>46</v>
      </c>
    </row>
    <row r="1193" spans="1:3">
      <c r="A1193" t="s">
        <v>106</v>
      </c>
      <c r="B1193" s="14">
        <f>B1186</f>
        <v>291580662.62318051</v>
      </c>
      <c r="C1193" t="str">
        <f t="shared" si="76"/>
        <v>2024 USD</v>
      </c>
    </row>
    <row r="1194" spans="1:3">
      <c r="B1194" s="6">
        <f>B1193/$B$1190</f>
        <v>33.606132603779962</v>
      </c>
      <c r="C1194" t="s">
        <v>46</v>
      </c>
    </row>
    <row r="1195" spans="1:3">
      <c r="A1195" t="s">
        <v>45</v>
      </c>
      <c r="B1195" s="14">
        <f>B1191+B1193</f>
        <v>339540341.9915145</v>
      </c>
      <c r="C1195" t="str">
        <f t="shared" si="76"/>
        <v>2024 USD</v>
      </c>
    </row>
    <row r="1196" spans="1:3">
      <c r="B1196" s="6">
        <f>B1195/$B$1190</f>
        <v>39.133725997618654</v>
      </c>
      <c r="C1196" t="s">
        <v>46</v>
      </c>
    </row>
    <row r="1197" spans="1:3">
      <c r="C1197" s="41"/>
    </row>
    <row r="1198" spans="1:3" s="30" customFormat="1">
      <c r="A1198" s="30" t="s">
        <v>419</v>
      </c>
    </row>
    <row r="1199" spans="1:3">
      <c r="A1199">
        <v>1</v>
      </c>
      <c r="B1199" t="s">
        <v>1196</v>
      </c>
    </row>
    <row r="1200" spans="1:3">
      <c r="A1200">
        <v>2</v>
      </c>
      <c r="B1200" t="s">
        <v>300</v>
      </c>
    </row>
    <row r="1201" spans="1:2">
      <c r="A1201">
        <v>3</v>
      </c>
      <c r="B1201" t="s">
        <v>421</v>
      </c>
    </row>
    <row r="1202" spans="1:2">
      <c r="A1202">
        <v>4</v>
      </c>
      <c r="B1202" t="s">
        <v>422</v>
      </c>
    </row>
    <row r="1203" spans="1:2">
      <c r="A1203">
        <v>5</v>
      </c>
      <c r="B1203" t="s">
        <v>423</v>
      </c>
    </row>
    <row r="1204" spans="1:2">
      <c r="A1204">
        <v>6</v>
      </c>
      <c r="B1204" s="203" t="s">
        <v>424</v>
      </c>
    </row>
    <row r="1205" spans="1:2">
      <c r="A1205">
        <v>7</v>
      </c>
      <c r="B1205" t="s">
        <v>420</v>
      </c>
    </row>
    <row r="1206" spans="1:2">
      <c r="A1206">
        <v>8</v>
      </c>
      <c r="B1206" t="s">
        <v>425</v>
      </c>
    </row>
    <row r="1207" spans="1:2">
      <c r="A1207">
        <v>9</v>
      </c>
      <c r="B1207" s="203" t="s">
        <v>426</v>
      </c>
    </row>
    <row r="1208" spans="1:2">
      <c r="A1208">
        <v>10</v>
      </c>
      <c r="B1208" s="203" t="s">
        <v>427</v>
      </c>
    </row>
    <row r="1209" spans="1:2">
      <c r="A1209">
        <v>11</v>
      </c>
      <c r="B1209" s="203" t="s">
        <v>428</v>
      </c>
    </row>
    <row r="1210" spans="1:2">
      <c r="A1210">
        <v>12</v>
      </c>
      <c r="B1210" t="s">
        <v>429</v>
      </c>
    </row>
    <row r="1211" spans="1:2">
      <c r="A1211">
        <v>13</v>
      </c>
      <c r="B1211" t="s">
        <v>439</v>
      </c>
    </row>
    <row r="1212" spans="1:2">
      <c r="A1212">
        <v>14</v>
      </c>
      <c r="B1212" t="s">
        <v>446</v>
      </c>
    </row>
    <row r="1213" spans="1:2">
      <c r="A1213">
        <v>15</v>
      </c>
      <c r="B1213" t="s">
        <v>448</v>
      </c>
    </row>
    <row r="1214" spans="1:2">
      <c r="A1214">
        <v>16</v>
      </c>
      <c r="B1214" t="s">
        <v>451</v>
      </c>
    </row>
    <row r="1215" spans="1:2">
      <c r="A1215">
        <v>17</v>
      </c>
      <c r="B1215" t="s">
        <v>464</v>
      </c>
    </row>
    <row r="1216" spans="1:2">
      <c r="A1216">
        <v>18</v>
      </c>
      <c r="B1216" t="s">
        <v>466</v>
      </c>
    </row>
    <row r="1217" spans="1:2">
      <c r="A1217">
        <v>19</v>
      </c>
      <c r="B1217" t="s">
        <v>485</v>
      </c>
    </row>
    <row r="1218" spans="1:2">
      <c r="A1218">
        <v>20</v>
      </c>
      <c r="B1218" t="s">
        <v>507</v>
      </c>
    </row>
    <row r="1219" spans="1:2">
      <c r="A1219">
        <v>21</v>
      </c>
      <c r="B1219" t="s">
        <v>506</v>
      </c>
    </row>
    <row r="1220" spans="1:2">
      <c r="A1220">
        <v>22</v>
      </c>
      <c r="B1220" t="s">
        <v>521</v>
      </c>
    </row>
    <row r="1221" spans="1:2">
      <c r="A1221">
        <v>23</v>
      </c>
      <c r="B1221" t="s">
        <v>784</v>
      </c>
    </row>
    <row r="1222" spans="1:2">
      <c r="A1222">
        <v>24</v>
      </c>
      <c r="B1222" t="s">
        <v>528</v>
      </c>
    </row>
    <row r="1223" spans="1:2">
      <c r="A1223">
        <v>25</v>
      </c>
      <c r="B1223" t="s">
        <v>785</v>
      </c>
    </row>
    <row r="1224" spans="1:2">
      <c r="A1224">
        <v>26</v>
      </c>
      <c r="B1224" s="203" t="s">
        <v>534</v>
      </c>
    </row>
    <row r="1225" spans="1:2">
      <c r="A1225">
        <v>27</v>
      </c>
      <c r="B1225" t="s">
        <v>536</v>
      </c>
    </row>
    <row r="1226" spans="1:2">
      <c r="A1226">
        <v>28</v>
      </c>
      <c r="B1226" t="s">
        <v>539</v>
      </c>
    </row>
    <row r="1227" spans="1:2">
      <c r="A1227">
        <v>29</v>
      </c>
      <c r="B1227" t="s">
        <v>554</v>
      </c>
    </row>
    <row r="1228" spans="1:2">
      <c r="A1228">
        <v>30</v>
      </c>
      <c r="B1228" t="s">
        <v>579</v>
      </c>
    </row>
    <row r="1229" spans="1:2">
      <c r="A1229">
        <v>31</v>
      </c>
      <c r="B1229" t="s">
        <v>587</v>
      </c>
    </row>
    <row r="1230" spans="1:2">
      <c r="A1230">
        <v>32</v>
      </c>
      <c r="B1230" t="s">
        <v>607</v>
      </c>
    </row>
    <row r="1231" spans="1:2">
      <c r="A1231">
        <v>33</v>
      </c>
      <c r="B1231" t="s">
        <v>592</v>
      </c>
    </row>
    <row r="1232" spans="1:2">
      <c r="A1232">
        <v>34</v>
      </c>
      <c r="B1232" s="203" t="s">
        <v>617</v>
      </c>
    </row>
    <row r="1233" spans="1:2">
      <c r="A1233">
        <v>35</v>
      </c>
      <c r="B1233" t="s">
        <v>618</v>
      </c>
    </row>
    <row r="1234" spans="1:2">
      <c r="A1234">
        <v>36</v>
      </c>
      <c r="B1234" t="s">
        <v>1110</v>
      </c>
    </row>
    <row r="1235" spans="1:2">
      <c r="A1235">
        <v>37</v>
      </c>
      <c r="B1235" t="s">
        <v>637</v>
      </c>
    </row>
    <row r="1236" spans="1:2">
      <c r="A1236">
        <v>38</v>
      </c>
      <c r="B1236" t="s">
        <v>652</v>
      </c>
    </row>
    <row r="1237" spans="1:2">
      <c r="A1237">
        <v>39</v>
      </c>
      <c r="B1237" t="s">
        <v>687</v>
      </c>
    </row>
    <row r="1238" spans="1:2">
      <c r="A1238">
        <v>40</v>
      </c>
      <c r="B1238" t="s">
        <v>690</v>
      </c>
    </row>
    <row r="1239" spans="1:2">
      <c r="A1239">
        <v>41</v>
      </c>
      <c r="B1239" t="s">
        <v>911</v>
      </c>
    </row>
    <row r="1240" spans="1:2">
      <c r="A1240">
        <v>42</v>
      </c>
      <c r="B1240" t="s">
        <v>815</v>
      </c>
    </row>
    <row r="1241" spans="1:2">
      <c r="A1241">
        <v>43</v>
      </c>
      <c r="B1241" s="203" t="s">
        <v>833</v>
      </c>
    </row>
    <row r="1242" spans="1:2">
      <c r="A1242">
        <v>44</v>
      </c>
      <c r="B1242" s="203" t="s">
        <v>290</v>
      </c>
    </row>
    <row r="1243" spans="1:2">
      <c r="A1243">
        <v>45</v>
      </c>
      <c r="B1243" t="s">
        <v>869</v>
      </c>
    </row>
    <row r="1244" spans="1:2">
      <c r="A1244">
        <v>46</v>
      </c>
      <c r="B1244" s="3" t="s">
        <v>934</v>
      </c>
    </row>
    <row r="1245" spans="1:2">
      <c r="A1245">
        <v>47</v>
      </c>
      <c r="B1245" t="s">
        <v>909</v>
      </c>
    </row>
    <row r="1246" spans="1:2">
      <c r="A1246">
        <v>48</v>
      </c>
      <c r="B1246" t="s">
        <v>912</v>
      </c>
    </row>
    <row r="1247" spans="1:2">
      <c r="A1247">
        <v>49</v>
      </c>
      <c r="B1247" t="s">
        <v>913</v>
      </c>
    </row>
    <row r="1248" spans="1:2">
      <c r="A1248">
        <v>50</v>
      </c>
      <c r="B1248" t="s">
        <v>932</v>
      </c>
    </row>
    <row r="1249" spans="1:2">
      <c r="A1249">
        <v>51</v>
      </c>
      <c r="B1249" t="s">
        <v>933</v>
      </c>
    </row>
    <row r="1250" spans="1:2">
      <c r="A1250">
        <v>52</v>
      </c>
      <c r="B1250" t="s">
        <v>945</v>
      </c>
    </row>
    <row r="1251" spans="1:2">
      <c r="A1251">
        <v>53</v>
      </c>
      <c r="B1251" t="s">
        <v>957</v>
      </c>
    </row>
    <row r="1252" spans="1:2">
      <c r="A1252">
        <v>54</v>
      </c>
      <c r="B1252" t="s">
        <v>965</v>
      </c>
    </row>
    <row r="1253" spans="1:2">
      <c r="A1253">
        <v>55</v>
      </c>
      <c r="B1253" t="s">
        <v>1026</v>
      </c>
    </row>
    <row r="1254" spans="1:2">
      <c r="A1254">
        <v>56</v>
      </c>
      <c r="B1254" t="s">
        <v>1056</v>
      </c>
    </row>
    <row r="1255" spans="1:2">
      <c r="A1255">
        <v>57</v>
      </c>
      <c r="B1255" s="203" t="s">
        <v>1061</v>
      </c>
    </row>
    <row r="1256" spans="1:2">
      <c r="A1256">
        <v>58</v>
      </c>
      <c r="B1256" s="203" t="s">
        <v>1205</v>
      </c>
    </row>
    <row r="1257" spans="1:2">
      <c r="A1257">
        <v>59</v>
      </c>
      <c r="B1257" s="203" t="s">
        <v>1204</v>
      </c>
    </row>
    <row r="1258" spans="1:2">
      <c r="A1258">
        <v>60</v>
      </c>
      <c r="B1258" t="s">
        <v>1174</v>
      </c>
    </row>
    <row r="1259" spans="1:2">
      <c r="A1259">
        <v>61</v>
      </c>
      <c r="B1259" t="s">
        <v>1189</v>
      </c>
    </row>
    <row r="1260" spans="1:2">
      <c r="A1260">
        <v>62</v>
      </c>
      <c r="B1260" t="s">
        <v>1194</v>
      </c>
    </row>
    <row r="1261" spans="1:2">
      <c r="A1261">
        <v>63</v>
      </c>
      <c r="B1261" s="221" t="s">
        <v>1195</v>
      </c>
    </row>
  </sheetData>
  <phoneticPr fontId="12" type="noConversion"/>
  <hyperlinks>
    <hyperlink ref="B1207" r:id="rId1" xr:uid="{97CDE91D-B0DD-4533-8E6C-D146028DCB29}"/>
    <hyperlink ref="B1208" r:id="rId2" xr:uid="{5969DD76-E177-4EE1-BEDD-85BEC43B9A52}"/>
    <hyperlink ref="B1232" r:id="rId3" xr:uid="{E9E988F7-8F1E-474B-8620-C7DE7433676E}"/>
    <hyperlink ref="B1209" r:id="rId4" xr:uid="{5A19E74A-94AA-4B94-B802-4FA7C7D9041F}"/>
    <hyperlink ref="B1204" r:id="rId5" xr:uid="{4BB0B011-6102-4FAA-86A7-09A654BF963A}"/>
    <hyperlink ref="B1241" r:id="rId6" xr:uid="{1794E92F-9867-4480-8659-A7685927FE28}"/>
    <hyperlink ref="B1255" r:id="rId7" xr:uid="{539F0A73-EE10-404B-AB0F-1CE27CE44389}"/>
    <hyperlink ref="B1242" r:id="rId8" xr:uid="{152CCCAD-90D6-4A5D-A808-C620B6A5FE87}"/>
    <hyperlink ref="B1224" r:id="rId9" xr:uid="{F358AE14-4A97-40D8-A6F9-95B3B57AADAD}"/>
    <hyperlink ref="B1261" r:id="rId10" xr:uid="{5672A8F2-C762-44B3-B53A-841684BED049}"/>
    <hyperlink ref="B1257" r:id="rId11" xr:uid="{C1339155-FAD6-47D9-965B-42F3F47B293D}"/>
    <hyperlink ref="B1256" r:id="rId12" xr:uid="{19382823-6BDA-4314-B8BD-25A4ACAE5580}"/>
  </hyperlinks>
  <pageMargins left="0.7" right="0.7" top="0.75" bottom="0.75" header="0.3" footer="0.3"/>
  <pageSetup orientation="portrait" r:id="rId13"/>
  <legacyDrawing r:id="rId1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B0191-1BC7-4279-AD3B-7385034CF0D7}">
  <sheetPr codeName="Sheet13"/>
  <dimension ref="A1:CY160"/>
  <sheetViews>
    <sheetView zoomScale="50" zoomScaleNormal="50" zoomScaleSheetLayoutView="85" workbookViewId="0">
      <selection activeCell="A2" sqref="A2"/>
    </sheetView>
  </sheetViews>
  <sheetFormatPr defaultColWidth="7.2109375" defaultRowHeight="18.5"/>
  <cols>
    <col min="1" max="1" width="14.92578125" style="95" customWidth="1"/>
    <col min="2" max="2" width="53.5703125" style="95" customWidth="1"/>
    <col min="3" max="3" width="21" style="95" bestFit="1" customWidth="1"/>
    <col min="4" max="5" width="11.640625" style="95" customWidth="1"/>
    <col min="6" max="6" width="19.85546875" style="93" bestFit="1" customWidth="1"/>
    <col min="7" max="7" width="11.7109375" style="93" bestFit="1" customWidth="1"/>
    <col min="8" max="23" width="11.0703125" style="93" bestFit="1" customWidth="1"/>
    <col min="24" max="26" width="11.0703125" style="95" bestFit="1" customWidth="1"/>
    <col min="27" max="27" width="13.7109375" style="95" bestFit="1" customWidth="1"/>
    <col min="28" max="76" width="5.85546875" style="95" bestFit="1" customWidth="1"/>
    <col min="77" max="102" width="6.5" style="95" bestFit="1" customWidth="1"/>
    <col min="103" max="103" width="3.92578125" style="95" bestFit="1" customWidth="1"/>
    <col min="104" max="140" width="11.640625" style="95" customWidth="1"/>
    <col min="141" max="16384" width="7.2109375" style="95"/>
  </cols>
  <sheetData>
    <row r="1" spans="1:21" ht="21">
      <c r="A1" s="216" t="s">
        <v>1145</v>
      </c>
    </row>
    <row r="3" spans="1:21" s="88" customFormat="1">
      <c r="A3" s="87" t="s">
        <v>108</v>
      </c>
      <c r="C3" s="88">
        <v>2.0369691980863958E+66</v>
      </c>
      <c r="F3" s="89"/>
      <c r="G3" s="89"/>
      <c r="H3" s="89"/>
      <c r="I3" s="89"/>
      <c r="J3" s="89"/>
      <c r="K3" s="89"/>
      <c r="L3" s="89"/>
      <c r="M3" s="89"/>
      <c r="N3" s="89"/>
      <c r="O3" s="89"/>
      <c r="P3" s="89"/>
      <c r="Q3" s="89"/>
      <c r="R3" s="89"/>
      <c r="S3" s="89"/>
      <c r="T3" s="89"/>
      <c r="U3" s="89"/>
    </row>
    <row r="4" spans="1:21" ht="20" customHeight="1" thickBot="1">
      <c r="A4" s="91"/>
      <c r="B4" s="91"/>
      <c r="C4" s="92"/>
      <c r="D4" s="92"/>
      <c r="E4" s="92"/>
      <c r="F4" s="92"/>
      <c r="L4" s="94"/>
      <c r="M4" s="94"/>
      <c r="N4" s="94"/>
      <c r="S4" s="94"/>
      <c r="T4" s="94"/>
      <c r="U4" s="94"/>
    </row>
    <row r="5" spans="1:21" ht="20" customHeight="1" thickBot="1">
      <c r="A5" s="96"/>
      <c r="B5" s="95" t="s">
        <v>171</v>
      </c>
      <c r="C5" s="21">
        <v>54.675874365871778</v>
      </c>
      <c r="D5" s="97" t="str">
        <f>Calculations!$B$128&amp;" USD/t-CO2"</f>
        <v>2024 USD/t-CO2</v>
      </c>
      <c r="E5" s="98"/>
      <c r="F5" s="98"/>
      <c r="H5" s="99"/>
      <c r="I5" s="94"/>
      <c r="J5" s="94"/>
      <c r="K5" s="94"/>
      <c r="L5" s="94"/>
      <c r="M5" s="94"/>
      <c r="N5" s="94"/>
      <c r="O5" s="99"/>
      <c r="P5" s="94"/>
      <c r="Q5" s="94"/>
      <c r="R5" s="94"/>
      <c r="S5" s="94"/>
      <c r="T5" s="94"/>
      <c r="U5" s="94"/>
    </row>
    <row r="6" spans="1:21" ht="20" customHeight="1">
      <c r="A6" s="96"/>
      <c r="B6" s="95" t="s">
        <v>64</v>
      </c>
      <c r="C6" s="85">
        <f>Calculations!$B$1196</f>
        <v>39.133725997618654</v>
      </c>
      <c r="D6" s="97" t="s">
        <v>46</v>
      </c>
      <c r="E6" s="98"/>
      <c r="F6" s="98"/>
      <c r="H6" s="99"/>
      <c r="I6" s="94"/>
      <c r="J6" s="94"/>
      <c r="K6" s="94"/>
      <c r="L6" s="94"/>
      <c r="M6" s="94"/>
      <c r="N6" s="94"/>
      <c r="O6" s="99"/>
      <c r="P6" s="94"/>
      <c r="Q6" s="94"/>
      <c r="R6" s="94"/>
      <c r="S6" s="94"/>
      <c r="T6" s="94"/>
      <c r="U6" s="94"/>
    </row>
    <row r="7" spans="1:21" ht="20" customHeight="1">
      <c r="A7" s="96"/>
      <c r="B7" s="95" t="s">
        <v>107</v>
      </c>
      <c r="C7" s="85">
        <f>IF(C5-C6&lt;0,0,C5-C6)</f>
        <v>15.542148368253123</v>
      </c>
      <c r="D7" s="97" t="s">
        <v>46</v>
      </c>
      <c r="F7" s="95"/>
      <c r="H7" s="99"/>
      <c r="I7" s="94"/>
      <c r="J7" s="94"/>
      <c r="K7" s="94"/>
      <c r="L7" s="94"/>
      <c r="M7" s="94"/>
      <c r="N7" s="94"/>
      <c r="O7" s="99"/>
      <c r="P7" s="94"/>
      <c r="Q7" s="94"/>
      <c r="R7" s="94"/>
      <c r="S7" s="94"/>
      <c r="T7" s="94"/>
      <c r="U7" s="94"/>
    </row>
    <row r="8" spans="1:21" ht="20" customHeight="1">
      <c r="A8" s="96"/>
      <c r="F8" s="95"/>
      <c r="I8" s="100"/>
      <c r="J8" s="100"/>
      <c r="K8" s="100"/>
      <c r="L8" s="101"/>
      <c r="M8" s="101"/>
      <c r="N8" s="94"/>
      <c r="O8" s="102"/>
      <c r="P8" s="101"/>
      <c r="Q8" s="101"/>
      <c r="R8" s="101"/>
      <c r="S8" s="103"/>
      <c r="T8" s="101"/>
      <c r="U8" s="101"/>
    </row>
    <row r="9" spans="1:21" ht="20" customHeight="1">
      <c r="B9" s="104" t="s">
        <v>109</v>
      </c>
      <c r="C9" s="105">
        <f>(Calculations!B1190/1000000)/Calculations!B9</f>
        <v>0.28921374367485142</v>
      </c>
      <c r="D9" s="106" t="s">
        <v>94</v>
      </c>
      <c r="F9" s="95"/>
      <c r="I9" s="100"/>
      <c r="J9" s="100"/>
      <c r="K9" s="100"/>
      <c r="L9" s="101"/>
      <c r="M9" s="101"/>
      <c r="N9" s="101"/>
      <c r="O9" s="102"/>
      <c r="P9" s="101"/>
      <c r="Q9" s="101"/>
      <c r="R9" s="101"/>
      <c r="S9" s="103"/>
      <c r="T9" s="101"/>
      <c r="U9" s="101"/>
    </row>
    <row r="10" spans="1:21" ht="20" customHeight="1">
      <c r="B10" s="107" t="s">
        <v>110</v>
      </c>
      <c r="C10" s="107"/>
      <c r="D10" s="97"/>
      <c r="F10" s="95"/>
      <c r="I10" s="100"/>
      <c r="J10" s="100"/>
      <c r="K10" s="100"/>
      <c r="L10" s="101"/>
      <c r="M10" s="101"/>
      <c r="N10" s="101"/>
      <c r="O10" s="102"/>
      <c r="P10" s="101"/>
      <c r="Q10" s="101"/>
      <c r="R10" s="101"/>
      <c r="S10" s="103"/>
      <c r="T10" s="101"/>
      <c r="U10" s="101"/>
    </row>
    <row r="11" spans="1:21" ht="20" customHeight="1">
      <c r="B11" s="95" t="s">
        <v>111</v>
      </c>
      <c r="C11" s="108">
        <f>A159</f>
        <v>15833472.334685996</v>
      </c>
      <c r="D11" s="97"/>
      <c r="F11" s="95"/>
      <c r="I11" s="100"/>
      <c r="J11" s="100"/>
      <c r="K11" s="100"/>
      <c r="L11" s="101"/>
      <c r="M11" s="101"/>
      <c r="N11" s="101"/>
      <c r="O11" s="102"/>
      <c r="P11" s="101"/>
      <c r="Q11" s="101"/>
      <c r="R11" s="101"/>
      <c r="S11" s="103"/>
      <c r="T11" s="101"/>
      <c r="U11" s="101"/>
    </row>
    <row r="12" spans="1:21" ht="20" customHeight="1">
      <c r="B12" s="95" t="s">
        <v>112</v>
      </c>
      <c r="C12" s="86">
        <f>IF(C11&lt;0.1,0,IRR(C157:Y157))</f>
        <v>9.6299477345233919E-2</v>
      </c>
      <c r="F12" s="95"/>
      <c r="I12" s="100"/>
      <c r="J12" s="100"/>
      <c r="K12" s="100"/>
      <c r="L12" s="101"/>
      <c r="M12" s="101"/>
      <c r="N12" s="101"/>
      <c r="O12" s="102"/>
      <c r="P12" s="101"/>
      <c r="Q12" s="101"/>
      <c r="R12" s="101"/>
      <c r="S12" s="103"/>
      <c r="T12" s="101"/>
      <c r="U12" s="101"/>
    </row>
    <row r="13" spans="1:21" ht="20" customHeight="1">
      <c r="B13" s="95" t="s">
        <v>178</v>
      </c>
      <c r="C13" s="217">
        <f>IF('User Interface'!$B$28=Options!$L$5,'User Interface'!$B$29,Calculations!$C$172)</f>
        <v>9.6299999999999997E-2</v>
      </c>
      <c r="F13" s="95"/>
      <c r="I13" s="100"/>
      <c r="J13" s="100"/>
      <c r="K13" s="100"/>
      <c r="L13" s="101"/>
      <c r="M13" s="101"/>
      <c r="N13" s="101"/>
      <c r="O13" s="102"/>
      <c r="P13" s="101"/>
      <c r="Q13" s="101"/>
      <c r="R13" s="101"/>
      <c r="S13" s="103"/>
      <c r="T13" s="101"/>
      <c r="U13" s="101"/>
    </row>
    <row r="14" spans="1:21" ht="20" customHeight="1">
      <c r="B14" s="95" t="s">
        <v>1017</v>
      </c>
      <c r="C14" s="86">
        <f>(IRR-Target)</f>
        <v>-5.2265476607749051E-7</v>
      </c>
      <c r="F14" s="95"/>
      <c r="I14" s="100"/>
      <c r="J14" s="100"/>
      <c r="K14" s="100"/>
      <c r="L14" s="101"/>
      <c r="M14" s="101"/>
      <c r="N14" s="101"/>
      <c r="O14" s="102"/>
      <c r="P14" s="101"/>
      <c r="Q14" s="101"/>
      <c r="R14" s="101"/>
      <c r="S14" s="103"/>
      <c r="T14" s="101"/>
      <c r="U14" s="101"/>
    </row>
    <row r="15" spans="1:21" ht="20" customHeight="1">
      <c r="C15" s="86"/>
      <c r="F15" s="95"/>
      <c r="I15" s="100"/>
      <c r="J15" s="100"/>
      <c r="K15" s="100"/>
      <c r="L15" s="101"/>
      <c r="M15" s="101"/>
      <c r="N15" s="101"/>
      <c r="O15" s="102"/>
      <c r="P15" s="101"/>
      <c r="Q15" s="101"/>
      <c r="R15" s="101"/>
      <c r="S15" s="103"/>
      <c r="T15" s="101"/>
      <c r="U15" s="101"/>
    </row>
    <row r="16" spans="1:21" s="88" customFormat="1">
      <c r="A16" s="87" t="s">
        <v>1066</v>
      </c>
      <c r="F16" s="89"/>
      <c r="G16" s="89"/>
      <c r="H16" s="89"/>
      <c r="I16" s="89"/>
      <c r="J16" s="89"/>
      <c r="K16" s="89"/>
      <c r="L16" s="89"/>
      <c r="M16" s="89"/>
      <c r="N16" s="89"/>
      <c r="O16" s="89"/>
      <c r="P16" s="89"/>
      <c r="Q16" s="89"/>
      <c r="R16" s="89"/>
      <c r="S16" s="89"/>
      <c r="T16" s="89"/>
      <c r="U16" s="89"/>
    </row>
    <row r="17" spans="1:21" ht="20" customHeight="1">
      <c r="B17" s="93" t="s">
        <v>121</v>
      </c>
      <c r="C17" s="208">
        <v>0.45</v>
      </c>
      <c r="D17" s="95" t="s">
        <v>1069</v>
      </c>
      <c r="F17" s="95"/>
      <c r="I17" s="100"/>
      <c r="J17" s="100"/>
      <c r="K17" s="100"/>
      <c r="L17" s="101"/>
      <c r="M17" s="101"/>
      <c r="N17" s="101"/>
      <c r="O17" s="102"/>
      <c r="P17" s="101"/>
      <c r="Q17" s="101"/>
      <c r="R17" s="101"/>
      <c r="S17" s="103"/>
      <c r="T17" s="101"/>
      <c r="U17" s="101"/>
    </row>
    <row r="18" spans="1:21" ht="20" customHeight="1">
      <c r="B18" s="93" t="s">
        <v>122</v>
      </c>
      <c r="C18" s="86">
        <v>0.1077</v>
      </c>
      <c r="D18" s="95" t="s">
        <v>1068</v>
      </c>
      <c r="F18" s="95"/>
      <c r="I18" s="100"/>
      <c r="J18" s="100"/>
      <c r="K18" s="100"/>
      <c r="L18" s="101"/>
      <c r="M18" s="101"/>
      <c r="N18" s="101"/>
      <c r="O18" s="102"/>
      <c r="P18" s="101"/>
      <c r="Q18" s="101"/>
      <c r="R18" s="101"/>
      <c r="S18" s="103"/>
      <c r="T18" s="101"/>
      <c r="U18" s="101"/>
    </row>
    <row r="19" spans="1:21" ht="20" customHeight="1">
      <c r="B19" s="93" t="s">
        <v>124</v>
      </c>
      <c r="C19" s="86">
        <v>3.9100000000000003E-2</v>
      </c>
      <c r="D19" s="95" t="s">
        <v>1068</v>
      </c>
      <c r="F19" s="95"/>
      <c r="I19" s="100"/>
      <c r="J19" s="100"/>
      <c r="K19" s="100"/>
      <c r="L19" s="101"/>
      <c r="M19" s="101"/>
      <c r="N19" s="101"/>
      <c r="O19" s="102"/>
      <c r="P19" s="101"/>
      <c r="Q19" s="101"/>
      <c r="R19" s="101"/>
      <c r="S19" s="103"/>
      <c r="T19" s="101"/>
      <c r="U19" s="101"/>
    </row>
    <row r="20" spans="1:21" ht="20" customHeight="1">
      <c r="B20" s="93" t="s">
        <v>1191</v>
      </c>
      <c r="C20" s="86">
        <v>0.21</v>
      </c>
      <c r="D20" s="95" t="s">
        <v>1068</v>
      </c>
      <c r="F20" s="95"/>
      <c r="I20" s="100"/>
      <c r="J20" s="100"/>
      <c r="K20" s="100"/>
      <c r="L20" s="101"/>
      <c r="M20" s="101"/>
      <c r="N20" s="101"/>
      <c r="O20" s="102"/>
      <c r="P20" s="101"/>
      <c r="Q20" s="101"/>
      <c r="R20" s="101"/>
      <c r="S20" s="103"/>
      <c r="T20" s="101"/>
      <c r="U20" s="101"/>
    </row>
    <row r="21" spans="1:21" ht="20" customHeight="1">
      <c r="B21" s="93" t="s">
        <v>1067</v>
      </c>
      <c r="C21" s="209">
        <v>10</v>
      </c>
      <c r="D21" s="95" t="s">
        <v>9</v>
      </c>
      <c r="F21" s="95"/>
      <c r="I21" s="100"/>
      <c r="J21" s="100"/>
      <c r="K21" s="100"/>
      <c r="L21" s="101"/>
      <c r="M21" s="101"/>
      <c r="N21" s="101"/>
      <c r="O21" s="102"/>
      <c r="P21" s="101"/>
      <c r="Q21" s="101"/>
      <c r="R21" s="101"/>
      <c r="S21" s="103"/>
      <c r="T21" s="101"/>
      <c r="U21" s="101"/>
    </row>
    <row r="22" spans="1:21" ht="20" customHeight="1">
      <c r="C22" s="109"/>
      <c r="D22" s="109"/>
      <c r="E22" s="109"/>
      <c r="F22" s="109"/>
      <c r="O22" s="102"/>
      <c r="P22" s="101"/>
      <c r="Q22" s="101"/>
      <c r="R22" s="101"/>
      <c r="S22" s="103"/>
      <c r="T22" s="101"/>
      <c r="U22" s="101"/>
    </row>
    <row r="23" spans="1:21" s="88" customFormat="1" ht="20" customHeight="1">
      <c r="A23" s="87" t="s">
        <v>116</v>
      </c>
      <c r="B23" s="110"/>
      <c r="F23" s="89"/>
      <c r="G23" s="89"/>
      <c r="H23" s="89"/>
      <c r="I23" s="89"/>
      <c r="J23" s="89"/>
      <c r="K23" s="89"/>
      <c r="L23" s="89"/>
      <c r="M23" s="89"/>
      <c r="N23" s="89"/>
      <c r="O23" s="111"/>
      <c r="P23" s="112"/>
      <c r="Q23" s="112"/>
      <c r="R23" s="112"/>
      <c r="S23" s="110"/>
      <c r="T23" s="112"/>
      <c r="U23" s="112"/>
    </row>
    <row r="24" spans="1:21" ht="20" customHeight="1">
      <c r="B24" s="107" t="s">
        <v>117</v>
      </c>
      <c r="C24" s="107" t="s">
        <v>70</v>
      </c>
      <c r="D24" s="107" t="s">
        <v>118</v>
      </c>
      <c r="E24" s="107" t="s">
        <v>119</v>
      </c>
      <c r="O24" s="102"/>
      <c r="P24" s="101"/>
      <c r="Q24" s="101"/>
      <c r="R24" s="101"/>
      <c r="S24" s="103"/>
      <c r="T24" s="101"/>
      <c r="U24" s="101"/>
    </row>
    <row r="25" spans="1:21" ht="20" customHeight="1">
      <c r="B25" s="107" t="s">
        <v>120</v>
      </c>
      <c r="C25" s="107"/>
      <c r="D25" s="107"/>
      <c r="E25" s="107"/>
      <c r="O25" s="102"/>
      <c r="P25" s="101"/>
      <c r="Q25" s="101"/>
      <c r="R25" s="101"/>
      <c r="S25" s="103"/>
      <c r="T25" s="101"/>
      <c r="U25" s="101"/>
    </row>
    <row r="26" spans="1:21" ht="20" customHeight="1">
      <c r="B26" s="93" t="s">
        <v>121</v>
      </c>
      <c r="C26" s="207">
        <f>IF('User Interface'!$B$28=Options!$L$4,C17,'User Interface'!B31)</f>
        <v>0.45</v>
      </c>
      <c r="E26" s="93"/>
      <c r="O26" s="102"/>
      <c r="P26" s="101"/>
      <c r="Q26" s="101"/>
      <c r="R26" s="101"/>
      <c r="S26" s="103"/>
      <c r="T26" s="101"/>
      <c r="U26" s="101"/>
    </row>
    <row r="27" spans="1:21" ht="20" customHeight="1">
      <c r="B27" s="93" t="s">
        <v>122</v>
      </c>
      <c r="C27" s="207">
        <f>IF('User Interface'!$B$28=Options!$L$4,C18,'User Interface'!B32)</f>
        <v>0.1077</v>
      </c>
      <c r="D27" s="93" t="s">
        <v>123</v>
      </c>
      <c r="E27" s="93"/>
      <c r="M27" s="113"/>
      <c r="O27" s="102"/>
      <c r="P27" s="101"/>
      <c r="Q27" s="101"/>
      <c r="R27" s="101"/>
      <c r="S27" s="103"/>
      <c r="T27" s="101"/>
      <c r="U27" s="101"/>
    </row>
    <row r="28" spans="1:21" ht="20" customHeight="1">
      <c r="B28" s="93" t="s">
        <v>124</v>
      </c>
      <c r="C28" s="207">
        <f>IF('User Interface'!$B$28=Options!$L$4,C19,'User Interface'!B33)</f>
        <v>3.9100000000000003E-2</v>
      </c>
      <c r="D28" s="93" t="s">
        <v>123</v>
      </c>
      <c r="E28" s="93"/>
      <c r="J28" s="114"/>
      <c r="O28" s="102"/>
      <c r="P28" s="101"/>
      <c r="Q28" s="101"/>
      <c r="R28" s="101"/>
      <c r="S28" s="103"/>
      <c r="T28" s="101"/>
      <c r="U28" s="101"/>
    </row>
    <row r="29" spans="1:21" ht="20" customHeight="1">
      <c r="B29" s="93" t="s">
        <v>125</v>
      </c>
      <c r="C29" s="207">
        <f>C20+Calculations!D242</f>
        <v>0.26206249999999998</v>
      </c>
      <c r="D29" s="93" t="s">
        <v>123</v>
      </c>
      <c r="E29" s="93"/>
      <c r="J29" s="114"/>
      <c r="O29" s="102"/>
      <c r="P29" s="101"/>
      <c r="Q29" s="101"/>
      <c r="R29" s="101"/>
      <c r="S29" s="103"/>
      <c r="T29" s="101"/>
      <c r="U29" s="101"/>
    </row>
    <row r="30" spans="1:21" ht="20" customHeight="1">
      <c r="A30" s="93"/>
      <c r="B30" s="93" t="s">
        <v>126</v>
      </c>
      <c r="C30" s="218">
        <f>IF('User Interface'!$B$28=Options!$L$4,Calculations!$D$172,'User Interface'!$B$34)</f>
        <v>0.13489404222495646</v>
      </c>
      <c r="D30" s="93"/>
      <c r="E30" s="93"/>
      <c r="O30" s="102"/>
      <c r="P30" s="101"/>
      <c r="Q30" s="101"/>
      <c r="R30" s="101"/>
      <c r="S30" s="103"/>
      <c r="T30" s="101"/>
      <c r="U30" s="101"/>
    </row>
    <row r="31" spans="1:21" ht="20" customHeight="1">
      <c r="A31" s="93"/>
      <c r="B31" s="93" t="s">
        <v>127</v>
      </c>
      <c r="C31" s="115">
        <f>IF('User Interface'!$B$28=Options!$L$4,C21,'User Interface'!B30)</f>
        <v>10</v>
      </c>
      <c r="D31" s="95" t="s">
        <v>9</v>
      </c>
      <c r="E31" s="93"/>
      <c r="O31" s="102"/>
      <c r="P31" s="101"/>
      <c r="Q31" s="101"/>
      <c r="R31" s="101"/>
      <c r="S31" s="103"/>
      <c r="T31" s="101"/>
      <c r="U31" s="101"/>
    </row>
    <row r="32" spans="1:21" ht="20" customHeight="1">
      <c r="A32" s="93"/>
      <c r="B32" s="106"/>
      <c r="C32" s="116">
        <f>1/C31</f>
        <v>0.1</v>
      </c>
      <c r="D32" s="93"/>
      <c r="E32" s="93"/>
      <c r="O32" s="102"/>
      <c r="P32" s="101"/>
      <c r="Q32" s="101"/>
      <c r="R32" s="101"/>
      <c r="S32" s="103"/>
      <c r="T32" s="101"/>
      <c r="U32" s="101"/>
    </row>
    <row r="33" spans="1:21" ht="20" customHeight="1">
      <c r="A33" s="93"/>
      <c r="B33" s="93"/>
      <c r="C33" s="117"/>
      <c r="D33" s="93"/>
      <c r="E33" s="93"/>
      <c r="O33" s="102"/>
      <c r="P33" s="101"/>
      <c r="Q33" s="101"/>
      <c r="R33" s="101"/>
      <c r="S33" s="103"/>
      <c r="T33" s="101"/>
      <c r="U33" s="101"/>
    </row>
    <row r="34" spans="1:21" ht="20" customHeight="1">
      <c r="A34" s="93"/>
      <c r="B34" s="93" t="s">
        <v>128</v>
      </c>
      <c r="C34" s="118">
        <f>C28*(1-C29)</f>
        <v>2.8853356250000003E-2</v>
      </c>
      <c r="D34" s="93" t="s">
        <v>123</v>
      </c>
      <c r="E34" s="93"/>
      <c r="O34" s="102"/>
      <c r="P34" s="101"/>
      <c r="R34" s="108"/>
      <c r="S34" s="95"/>
      <c r="T34" s="101"/>
      <c r="U34" s="101"/>
    </row>
    <row r="35" spans="1:21" ht="20" customHeight="1">
      <c r="A35" s="93"/>
      <c r="B35" s="93" t="s">
        <v>129</v>
      </c>
      <c r="C35" s="116">
        <f>C26*C27+(1-C26)*C34</f>
        <v>6.4334345937500009E-2</v>
      </c>
      <c r="D35" s="93" t="s">
        <v>123</v>
      </c>
      <c r="E35" s="93"/>
      <c r="O35" s="95"/>
      <c r="P35" s="95"/>
      <c r="Q35" s="119"/>
      <c r="R35" s="120"/>
      <c r="S35" s="101"/>
      <c r="T35" s="95"/>
      <c r="U35" s="95"/>
    </row>
    <row r="36" spans="1:21" ht="20" customHeight="1">
      <c r="A36" s="93"/>
      <c r="B36" s="93"/>
      <c r="C36" s="93"/>
      <c r="D36" s="93"/>
      <c r="E36" s="93"/>
      <c r="O36" s="95"/>
      <c r="P36" s="95"/>
      <c r="R36" s="120"/>
      <c r="T36" s="95"/>
      <c r="U36" s="95"/>
    </row>
    <row r="37" spans="1:21" ht="20" customHeight="1">
      <c r="A37" s="93"/>
      <c r="B37" s="93" t="s">
        <v>130</v>
      </c>
      <c r="C37" s="121">
        <f>'User Interface'!B27</f>
        <v>2024</v>
      </c>
      <c r="D37" s="93"/>
      <c r="E37" s="93"/>
      <c r="N37" s="102"/>
      <c r="O37" s="101"/>
      <c r="P37" s="101"/>
      <c r="R37" s="120"/>
      <c r="S37" s="101"/>
      <c r="T37" s="101"/>
    </row>
    <row r="38" spans="1:21" ht="20" customHeight="1">
      <c r="B38" s="93" t="s">
        <v>131</v>
      </c>
      <c r="C38" s="93">
        <f>C37</f>
        <v>2024</v>
      </c>
      <c r="D38" s="93" t="s">
        <v>69</v>
      </c>
      <c r="E38" s="93"/>
      <c r="R38" s="120"/>
      <c r="T38" s="119"/>
    </row>
    <row r="39" spans="1:21" ht="20" customHeight="1">
      <c r="B39" s="93" t="s">
        <v>132</v>
      </c>
      <c r="C39" s="122">
        <f>'User Interface'!B26</f>
        <v>2</v>
      </c>
      <c r="D39" s="93" t="s">
        <v>133</v>
      </c>
      <c r="E39" s="93"/>
    </row>
    <row r="40" spans="1:21" ht="20" customHeight="1">
      <c r="B40" s="93" t="s">
        <v>134</v>
      </c>
      <c r="C40" s="121">
        <f>'User Interface'!B25</f>
        <v>30</v>
      </c>
      <c r="D40" s="93" t="s">
        <v>133</v>
      </c>
      <c r="E40" s="93"/>
      <c r="G40" s="123"/>
      <c r="R40" s="124"/>
    </row>
    <row r="41" spans="1:21" ht="20" customHeight="1">
      <c r="B41" s="93" t="s">
        <v>135</v>
      </c>
      <c r="C41" s="125">
        <f>C39+1</f>
        <v>3</v>
      </c>
      <c r="D41" s="93" t="s">
        <v>136</v>
      </c>
      <c r="E41" s="93"/>
      <c r="R41" s="120"/>
    </row>
    <row r="42" spans="1:21" ht="20" customHeight="1">
      <c r="B42" s="93" t="s">
        <v>137</v>
      </c>
      <c r="C42" s="126">
        <f>C39+C40</f>
        <v>32</v>
      </c>
      <c r="D42" s="93" t="s">
        <v>136</v>
      </c>
      <c r="E42" s="93"/>
    </row>
    <row r="43" spans="1:21" s="93" customFormat="1" ht="20" customHeight="1">
      <c r="A43" s="95"/>
      <c r="B43" s="93" t="s">
        <v>138</v>
      </c>
      <c r="C43" s="126">
        <f>C41+C31</f>
        <v>13</v>
      </c>
      <c r="D43" s="93" t="s">
        <v>136</v>
      </c>
    </row>
    <row r="44" spans="1:21" s="93" customFormat="1" ht="20" customHeight="1">
      <c r="A44" s="95"/>
      <c r="B44" s="93" t="s">
        <v>139</v>
      </c>
      <c r="C44" s="125">
        <f>C42</f>
        <v>32</v>
      </c>
      <c r="D44" s="93" t="s">
        <v>136</v>
      </c>
      <c r="Q44" s="120"/>
      <c r="R44" s="120"/>
      <c r="T44" s="119"/>
    </row>
    <row r="45" spans="1:21" s="93" customFormat="1" ht="20" customHeight="1">
      <c r="A45" s="95"/>
      <c r="B45" s="95"/>
      <c r="C45" s="95"/>
      <c r="D45" s="95"/>
    </row>
    <row r="46" spans="1:21" s="93" customFormat="1" ht="20" customHeight="1">
      <c r="A46" s="95"/>
      <c r="B46" s="127" t="s">
        <v>140</v>
      </c>
      <c r="C46" s="95"/>
      <c r="D46" s="95"/>
    </row>
    <row r="47" spans="1:21" s="93" customFormat="1" ht="20" customHeight="1">
      <c r="A47" s="95"/>
      <c r="B47" s="104" t="s">
        <v>1008</v>
      </c>
      <c r="C47" s="103">
        <f>C9*1000000</f>
        <v>289213.74367485143</v>
      </c>
      <c r="D47" s="93" t="s">
        <v>141</v>
      </c>
    </row>
    <row r="48" spans="1:21" s="93" customFormat="1" ht="20" customHeight="1">
      <c r="A48" s="95"/>
      <c r="B48" s="128"/>
      <c r="C48" s="95"/>
      <c r="D48" s="95"/>
      <c r="E48" s="95"/>
    </row>
    <row r="49" spans="1:103" s="89" customFormat="1" ht="20" customHeight="1">
      <c r="A49" s="87" t="s">
        <v>142</v>
      </c>
      <c r="B49" s="88"/>
      <c r="C49" s="88"/>
      <c r="D49" s="88"/>
      <c r="E49" s="88"/>
      <c r="F49" s="88"/>
      <c r="G49" s="88"/>
      <c r="H49" s="88"/>
      <c r="I49" s="88"/>
      <c r="X49" s="88"/>
      <c r="Y49" s="88"/>
      <c r="Z49" s="88"/>
      <c r="AA49" s="88"/>
      <c r="AB49" s="88"/>
      <c r="AC49" s="88"/>
      <c r="AD49" s="88"/>
      <c r="AE49" s="88"/>
      <c r="AF49" s="88"/>
      <c r="AG49" s="88"/>
      <c r="AH49" s="88"/>
      <c r="AI49" s="88"/>
      <c r="AJ49" s="88"/>
      <c r="AK49" s="88"/>
      <c r="AL49" s="88"/>
      <c r="AM49" s="88"/>
      <c r="AN49" s="88"/>
      <c r="AO49" s="88"/>
      <c r="AP49" s="88"/>
      <c r="AQ49" s="88"/>
      <c r="AR49" s="88"/>
      <c r="AS49" s="88"/>
      <c r="AT49" s="88"/>
      <c r="AU49" s="88"/>
      <c r="AV49" s="88"/>
      <c r="AW49" s="88"/>
      <c r="AX49" s="88"/>
      <c r="AY49" s="88"/>
      <c r="AZ49" s="88"/>
      <c r="BA49" s="88"/>
      <c r="BB49" s="88"/>
      <c r="BC49" s="88"/>
      <c r="BD49" s="88"/>
      <c r="BE49" s="88"/>
      <c r="BF49" s="88"/>
      <c r="BG49" s="88"/>
      <c r="BH49" s="88"/>
      <c r="BI49" s="88"/>
      <c r="BJ49" s="88"/>
      <c r="BK49" s="88"/>
      <c r="BL49" s="88"/>
      <c r="BM49" s="88"/>
      <c r="BN49" s="88"/>
      <c r="BO49" s="88"/>
      <c r="BP49" s="88"/>
      <c r="BQ49" s="88"/>
      <c r="BR49" s="88"/>
      <c r="BS49" s="88"/>
      <c r="BT49" s="88"/>
      <c r="BU49" s="88"/>
      <c r="BV49" s="88"/>
      <c r="BW49" s="88"/>
      <c r="BX49" s="88"/>
      <c r="BY49" s="88"/>
      <c r="BZ49" s="88"/>
      <c r="CA49" s="88"/>
      <c r="CB49" s="88"/>
      <c r="CC49" s="88"/>
      <c r="CD49" s="88"/>
      <c r="CE49" s="88"/>
      <c r="CF49" s="88"/>
      <c r="CG49" s="88"/>
      <c r="CH49" s="88"/>
      <c r="CI49" s="88"/>
      <c r="CJ49" s="88"/>
      <c r="CK49" s="88"/>
      <c r="CL49" s="88"/>
      <c r="CM49" s="88"/>
      <c r="CN49" s="88"/>
      <c r="CO49" s="88"/>
      <c r="CP49" s="88"/>
      <c r="CQ49" s="88"/>
      <c r="CR49" s="88"/>
      <c r="CS49" s="88"/>
      <c r="CT49" s="88"/>
      <c r="CU49" s="88"/>
      <c r="CV49" s="88"/>
      <c r="CW49" s="88"/>
      <c r="CX49" s="88"/>
      <c r="CY49" s="88"/>
    </row>
    <row r="50" spans="1:103" s="93" customFormat="1" ht="20" customHeight="1">
      <c r="B50" s="91" t="s">
        <v>113</v>
      </c>
      <c r="C50" s="92" t="s">
        <v>177</v>
      </c>
      <c r="D50" s="129">
        <v>1</v>
      </c>
      <c r="E50" s="129">
        <v>2</v>
      </c>
      <c r="F50" s="129">
        <v>3</v>
      </c>
      <c r="G50" s="129">
        <v>4</v>
      </c>
      <c r="H50" s="129">
        <v>5</v>
      </c>
      <c r="I50" s="129">
        <v>6</v>
      </c>
      <c r="J50" s="129">
        <v>7</v>
      </c>
      <c r="K50" s="129">
        <v>8</v>
      </c>
      <c r="L50" s="129">
        <v>9</v>
      </c>
      <c r="M50" s="129">
        <v>10</v>
      </c>
      <c r="N50" s="129">
        <v>11</v>
      </c>
      <c r="O50" s="129">
        <v>12</v>
      </c>
      <c r="P50" s="129">
        <v>13</v>
      </c>
      <c r="Q50" s="129">
        <v>14</v>
      </c>
      <c r="R50" s="129">
        <v>15</v>
      </c>
      <c r="S50" s="129">
        <v>16</v>
      </c>
      <c r="T50" s="129">
        <v>17</v>
      </c>
      <c r="U50" s="129">
        <v>18</v>
      </c>
      <c r="V50" s="129">
        <v>19</v>
      </c>
      <c r="W50" s="129">
        <v>20</v>
      </c>
      <c r="X50" s="129">
        <v>21</v>
      </c>
      <c r="Y50" s="129">
        <v>22</v>
      </c>
      <c r="Z50" s="129">
        <v>23</v>
      </c>
      <c r="AA50" s="129">
        <v>24</v>
      </c>
      <c r="AB50" s="129">
        <v>25</v>
      </c>
      <c r="AC50" s="129">
        <v>26</v>
      </c>
      <c r="AD50" s="129">
        <v>27</v>
      </c>
      <c r="AE50" s="129">
        <v>28</v>
      </c>
      <c r="AF50" s="129">
        <v>29</v>
      </c>
      <c r="AG50" s="129">
        <v>30</v>
      </c>
      <c r="AH50" s="129">
        <v>31</v>
      </c>
      <c r="AI50" s="129">
        <v>32</v>
      </c>
      <c r="AJ50" s="129">
        <v>33</v>
      </c>
      <c r="AK50" s="129">
        <v>34</v>
      </c>
      <c r="AL50" s="129">
        <v>35</v>
      </c>
      <c r="AM50" s="129">
        <v>36</v>
      </c>
      <c r="AN50" s="129">
        <v>37</v>
      </c>
      <c r="AO50" s="129">
        <v>38</v>
      </c>
      <c r="AP50" s="129">
        <v>39</v>
      </c>
      <c r="AQ50" s="129">
        <v>40</v>
      </c>
      <c r="AR50" s="129">
        <v>41</v>
      </c>
      <c r="AS50" s="129">
        <v>42</v>
      </c>
      <c r="AT50" s="129">
        <v>43</v>
      </c>
      <c r="AU50" s="129">
        <v>44</v>
      </c>
      <c r="AV50" s="129">
        <v>45</v>
      </c>
      <c r="AW50" s="129">
        <v>46</v>
      </c>
      <c r="AX50" s="129">
        <v>47</v>
      </c>
      <c r="AY50" s="129">
        <v>48</v>
      </c>
      <c r="AZ50" s="129">
        <v>49</v>
      </c>
      <c r="BA50" s="129">
        <v>50</v>
      </c>
      <c r="BB50" s="129">
        <v>51</v>
      </c>
      <c r="BC50" s="129">
        <v>52</v>
      </c>
      <c r="BD50" s="129">
        <v>53</v>
      </c>
      <c r="BE50" s="129">
        <v>54</v>
      </c>
      <c r="BF50" s="129">
        <v>55</v>
      </c>
      <c r="BG50" s="129">
        <v>56</v>
      </c>
      <c r="BH50" s="129">
        <v>57</v>
      </c>
      <c r="BI50" s="129">
        <v>58</v>
      </c>
      <c r="BJ50" s="129">
        <v>59</v>
      </c>
      <c r="BK50" s="129">
        <v>60</v>
      </c>
      <c r="BL50" s="129">
        <v>61</v>
      </c>
      <c r="BM50" s="129">
        <v>62</v>
      </c>
      <c r="BN50" s="129">
        <v>63</v>
      </c>
      <c r="BO50" s="129">
        <v>64</v>
      </c>
      <c r="BP50" s="129">
        <v>65</v>
      </c>
      <c r="BQ50" s="129">
        <v>66</v>
      </c>
      <c r="BR50" s="129">
        <v>67</v>
      </c>
      <c r="BS50" s="129">
        <v>68</v>
      </c>
      <c r="BT50" s="129">
        <v>69</v>
      </c>
      <c r="BU50" s="129">
        <v>70</v>
      </c>
      <c r="BV50" s="129">
        <v>71</v>
      </c>
      <c r="BW50" s="129">
        <v>72</v>
      </c>
      <c r="BX50" s="129">
        <v>73</v>
      </c>
      <c r="BY50" s="129">
        <v>74</v>
      </c>
      <c r="BZ50" s="129">
        <v>75</v>
      </c>
      <c r="CA50" s="129">
        <v>76</v>
      </c>
      <c r="CB50" s="129">
        <v>77</v>
      </c>
      <c r="CC50" s="129">
        <v>78</v>
      </c>
      <c r="CD50" s="129">
        <v>79</v>
      </c>
      <c r="CE50" s="129">
        <v>80</v>
      </c>
      <c r="CF50" s="129">
        <v>81</v>
      </c>
      <c r="CG50" s="129">
        <v>82</v>
      </c>
      <c r="CH50" s="129">
        <v>83</v>
      </c>
      <c r="CI50" s="129">
        <v>84</v>
      </c>
      <c r="CJ50" s="129">
        <v>85</v>
      </c>
      <c r="CK50" s="129">
        <v>86</v>
      </c>
      <c r="CL50" s="129">
        <v>87</v>
      </c>
      <c r="CM50" s="129">
        <v>88</v>
      </c>
      <c r="CN50" s="129">
        <v>89</v>
      </c>
      <c r="CO50" s="129">
        <v>90</v>
      </c>
      <c r="CP50" s="129">
        <v>91</v>
      </c>
      <c r="CQ50" s="129">
        <v>92</v>
      </c>
      <c r="CR50" s="129">
        <v>93</v>
      </c>
      <c r="CS50" s="129">
        <v>94</v>
      </c>
      <c r="CT50" s="129">
        <v>95</v>
      </c>
      <c r="CU50" s="129">
        <v>96</v>
      </c>
      <c r="CV50" s="129">
        <v>97</v>
      </c>
      <c r="CW50" s="129">
        <v>98</v>
      </c>
      <c r="CX50" s="129">
        <v>99</v>
      </c>
      <c r="CY50" s="130">
        <v>100</v>
      </c>
    </row>
    <row r="51" spans="1:103" s="93" customFormat="1" ht="20" customHeight="1">
      <c r="A51" s="95"/>
      <c r="B51" s="193"/>
      <c r="C51" s="131" t="str">
        <f>"Total real cost in "&amp;C37&amp;"$"</f>
        <v>Total real cost in 2024$</v>
      </c>
      <c r="D51" s="132"/>
      <c r="E51" s="133"/>
      <c r="F51" s="133"/>
      <c r="G51" s="133"/>
      <c r="H51" s="133"/>
      <c r="I51" s="133"/>
      <c r="J51" s="133"/>
      <c r="K51" s="133"/>
      <c r="L51" s="133"/>
      <c r="M51" s="133"/>
      <c r="N51" s="133"/>
      <c r="O51" s="133"/>
      <c r="P51" s="133"/>
      <c r="Q51" s="133"/>
      <c r="R51" s="133"/>
      <c r="S51" s="133"/>
      <c r="T51" s="133"/>
      <c r="U51" s="133"/>
      <c r="V51" s="133"/>
      <c r="W51" s="133"/>
      <c r="X51" s="133"/>
      <c r="Y51" s="133"/>
      <c r="Z51" s="133"/>
      <c r="AA51" s="133"/>
      <c r="AB51" s="133"/>
      <c r="AC51" s="133"/>
      <c r="AD51" s="133"/>
      <c r="AE51" s="133"/>
      <c r="AF51" s="133"/>
      <c r="AG51" s="133"/>
      <c r="AH51" s="133"/>
      <c r="AI51" s="133"/>
      <c r="AJ51" s="133"/>
      <c r="AK51" s="133"/>
      <c r="AL51" s="133"/>
      <c r="AM51" s="133"/>
      <c r="AN51" s="133"/>
      <c r="AO51" s="133"/>
      <c r="AP51" s="133"/>
      <c r="AQ51" s="133"/>
      <c r="AR51" s="133"/>
      <c r="AS51" s="133"/>
      <c r="AT51" s="133"/>
      <c r="AU51" s="133"/>
      <c r="AV51" s="133"/>
      <c r="AW51" s="133"/>
      <c r="AX51" s="133"/>
      <c r="AY51" s="133"/>
      <c r="AZ51" s="133"/>
      <c r="BA51" s="133"/>
      <c r="BB51" s="133"/>
      <c r="BC51" s="133"/>
      <c r="BD51" s="133"/>
      <c r="BE51" s="133"/>
      <c r="BF51" s="133"/>
      <c r="BG51" s="133"/>
      <c r="BH51" s="133"/>
      <c r="BI51" s="133"/>
      <c r="BJ51" s="133"/>
      <c r="BK51" s="133"/>
      <c r="BL51" s="133"/>
      <c r="BM51" s="133"/>
      <c r="BN51" s="133"/>
      <c r="BO51" s="133"/>
      <c r="BP51" s="133"/>
      <c r="BQ51" s="133"/>
      <c r="BR51" s="133"/>
      <c r="BS51" s="133"/>
      <c r="BT51" s="133"/>
      <c r="BU51" s="133"/>
      <c r="BV51" s="133"/>
      <c r="BW51" s="133"/>
      <c r="BX51" s="133"/>
      <c r="BY51" s="133"/>
      <c r="BZ51" s="133"/>
      <c r="CA51" s="133"/>
      <c r="CB51" s="133"/>
      <c r="CC51" s="133"/>
      <c r="CD51" s="133"/>
      <c r="CE51" s="133"/>
      <c r="CF51" s="133"/>
      <c r="CG51" s="133"/>
      <c r="CH51" s="133"/>
      <c r="CI51" s="133"/>
      <c r="CJ51" s="133"/>
      <c r="CK51" s="133"/>
      <c r="CL51" s="133"/>
      <c r="CM51" s="133"/>
      <c r="CN51" s="133"/>
      <c r="CO51" s="133"/>
      <c r="CP51" s="133"/>
      <c r="CQ51" s="133"/>
      <c r="CR51" s="133"/>
      <c r="CS51" s="133"/>
      <c r="CT51" s="133"/>
      <c r="CU51" s="133"/>
      <c r="CV51" s="133"/>
      <c r="CW51" s="133"/>
      <c r="CX51" s="133"/>
      <c r="CY51" s="134"/>
    </row>
    <row r="52" spans="1:103" s="93" customFormat="1" ht="20" customHeight="1">
      <c r="A52" s="109"/>
      <c r="B52" s="135" t="str">
        <f>Calculations!A1157</f>
        <v>Liquefaction equipment</v>
      </c>
      <c r="C52" s="136">
        <f>Calculations!B1157</f>
        <v>16530569.6655627</v>
      </c>
      <c r="D52" s="119">
        <f>IF(D$50&lt;=$C$39,1/$C$39,0)</f>
        <v>0.5</v>
      </c>
      <c r="E52" s="119">
        <f t="shared" ref="E52:BP53" si="0">IF(E$50&lt;=$C$39,1/$C$39,0)</f>
        <v>0.5</v>
      </c>
      <c r="F52" s="119">
        <f t="shared" si="0"/>
        <v>0</v>
      </c>
      <c r="G52" s="119">
        <f t="shared" si="0"/>
        <v>0</v>
      </c>
      <c r="H52" s="119">
        <f t="shared" si="0"/>
        <v>0</v>
      </c>
      <c r="I52" s="119">
        <f t="shared" si="0"/>
        <v>0</v>
      </c>
      <c r="J52" s="119">
        <f t="shared" si="0"/>
        <v>0</v>
      </c>
      <c r="K52" s="119">
        <f t="shared" si="0"/>
        <v>0</v>
      </c>
      <c r="L52" s="119">
        <f t="shared" si="0"/>
        <v>0</v>
      </c>
      <c r="M52" s="119">
        <f t="shared" si="0"/>
        <v>0</v>
      </c>
      <c r="N52" s="119">
        <f t="shared" si="0"/>
        <v>0</v>
      </c>
      <c r="O52" s="119">
        <f t="shared" si="0"/>
        <v>0</v>
      </c>
      <c r="P52" s="119">
        <f t="shared" si="0"/>
        <v>0</v>
      </c>
      <c r="Q52" s="119">
        <f t="shared" si="0"/>
        <v>0</v>
      </c>
      <c r="R52" s="119">
        <f t="shared" si="0"/>
        <v>0</v>
      </c>
      <c r="S52" s="119">
        <f t="shared" si="0"/>
        <v>0</v>
      </c>
      <c r="T52" s="119">
        <f t="shared" si="0"/>
        <v>0</v>
      </c>
      <c r="U52" s="119">
        <f t="shared" si="0"/>
        <v>0</v>
      </c>
      <c r="V52" s="119">
        <f t="shared" si="0"/>
        <v>0</v>
      </c>
      <c r="W52" s="119">
        <f t="shared" si="0"/>
        <v>0</v>
      </c>
      <c r="X52" s="119">
        <f t="shared" si="0"/>
        <v>0</v>
      </c>
      <c r="Y52" s="119">
        <f t="shared" si="0"/>
        <v>0</v>
      </c>
      <c r="Z52" s="119">
        <f t="shared" si="0"/>
        <v>0</v>
      </c>
      <c r="AA52" s="119">
        <f t="shared" si="0"/>
        <v>0</v>
      </c>
      <c r="AB52" s="119">
        <f t="shared" si="0"/>
        <v>0</v>
      </c>
      <c r="AC52" s="119">
        <f t="shared" si="0"/>
        <v>0</v>
      </c>
      <c r="AD52" s="119">
        <f t="shared" si="0"/>
        <v>0</v>
      </c>
      <c r="AE52" s="119">
        <f t="shared" si="0"/>
        <v>0</v>
      </c>
      <c r="AF52" s="119">
        <f t="shared" si="0"/>
        <v>0</v>
      </c>
      <c r="AG52" s="119">
        <f t="shared" si="0"/>
        <v>0</v>
      </c>
      <c r="AH52" s="119">
        <f t="shared" si="0"/>
        <v>0</v>
      </c>
      <c r="AI52" s="119">
        <f t="shared" si="0"/>
        <v>0</v>
      </c>
      <c r="AJ52" s="119">
        <f t="shared" si="0"/>
        <v>0</v>
      </c>
      <c r="AK52" s="119">
        <f t="shared" si="0"/>
        <v>0</v>
      </c>
      <c r="AL52" s="119">
        <f t="shared" si="0"/>
        <v>0</v>
      </c>
      <c r="AM52" s="119">
        <f t="shared" si="0"/>
        <v>0</v>
      </c>
      <c r="AN52" s="119">
        <f t="shared" si="0"/>
        <v>0</v>
      </c>
      <c r="AO52" s="119">
        <f t="shared" si="0"/>
        <v>0</v>
      </c>
      <c r="AP52" s="119">
        <f t="shared" si="0"/>
        <v>0</v>
      </c>
      <c r="AQ52" s="119">
        <f t="shared" si="0"/>
        <v>0</v>
      </c>
      <c r="AR52" s="119">
        <f t="shared" si="0"/>
        <v>0</v>
      </c>
      <c r="AS52" s="119">
        <f t="shared" si="0"/>
        <v>0</v>
      </c>
      <c r="AT52" s="119">
        <f t="shared" si="0"/>
        <v>0</v>
      </c>
      <c r="AU52" s="119">
        <f t="shared" si="0"/>
        <v>0</v>
      </c>
      <c r="AV52" s="119">
        <f t="shared" si="0"/>
        <v>0</v>
      </c>
      <c r="AW52" s="119">
        <f t="shared" si="0"/>
        <v>0</v>
      </c>
      <c r="AX52" s="119">
        <f t="shared" si="0"/>
        <v>0</v>
      </c>
      <c r="AY52" s="119">
        <f t="shared" si="0"/>
        <v>0</v>
      </c>
      <c r="AZ52" s="119">
        <f t="shared" si="0"/>
        <v>0</v>
      </c>
      <c r="BA52" s="119">
        <f t="shared" si="0"/>
        <v>0</v>
      </c>
      <c r="BB52" s="119">
        <f t="shared" si="0"/>
        <v>0</v>
      </c>
      <c r="BC52" s="119">
        <f t="shared" si="0"/>
        <v>0</v>
      </c>
      <c r="BD52" s="119">
        <f t="shared" si="0"/>
        <v>0</v>
      </c>
      <c r="BE52" s="119">
        <f t="shared" si="0"/>
        <v>0</v>
      </c>
      <c r="BF52" s="119">
        <f t="shared" si="0"/>
        <v>0</v>
      </c>
      <c r="BG52" s="119">
        <f t="shared" si="0"/>
        <v>0</v>
      </c>
      <c r="BH52" s="119">
        <f t="shared" si="0"/>
        <v>0</v>
      </c>
      <c r="BI52" s="119">
        <f t="shared" si="0"/>
        <v>0</v>
      </c>
      <c r="BJ52" s="119">
        <f t="shared" si="0"/>
        <v>0</v>
      </c>
      <c r="BK52" s="119">
        <f t="shared" si="0"/>
        <v>0</v>
      </c>
      <c r="BL52" s="119">
        <f t="shared" si="0"/>
        <v>0</v>
      </c>
      <c r="BM52" s="119">
        <f t="shared" si="0"/>
        <v>0</v>
      </c>
      <c r="BN52" s="119">
        <f t="shared" si="0"/>
        <v>0</v>
      </c>
      <c r="BO52" s="119">
        <f t="shared" si="0"/>
        <v>0</v>
      </c>
      <c r="BP52" s="119">
        <f t="shared" si="0"/>
        <v>0</v>
      </c>
      <c r="BQ52" s="119">
        <f t="shared" ref="BQ52:CY53" si="1">IF(BQ$50&lt;=$C$39,1/$C$39,0)</f>
        <v>0</v>
      </c>
      <c r="BR52" s="119">
        <f t="shared" si="1"/>
        <v>0</v>
      </c>
      <c r="BS52" s="119">
        <f t="shared" si="1"/>
        <v>0</v>
      </c>
      <c r="BT52" s="119">
        <f t="shared" si="1"/>
        <v>0</v>
      </c>
      <c r="BU52" s="119">
        <f t="shared" si="1"/>
        <v>0</v>
      </c>
      <c r="BV52" s="119">
        <f t="shared" si="1"/>
        <v>0</v>
      </c>
      <c r="BW52" s="119">
        <f t="shared" si="1"/>
        <v>0</v>
      </c>
      <c r="BX52" s="119">
        <f t="shared" si="1"/>
        <v>0</v>
      </c>
      <c r="BY52" s="119">
        <f t="shared" si="1"/>
        <v>0</v>
      </c>
      <c r="BZ52" s="119">
        <f t="shared" si="1"/>
        <v>0</v>
      </c>
      <c r="CA52" s="119">
        <f t="shared" si="1"/>
        <v>0</v>
      </c>
      <c r="CB52" s="119">
        <f t="shared" si="1"/>
        <v>0</v>
      </c>
      <c r="CC52" s="119">
        <f t="shared" si="1"/>
        <v>0</v>
      </c>
      <c r="CD52" s="119">
        <f t="shared" si="1"/>
        <v>0</v>
      </c>
      <c r="CE52" s="119">
        <f t="shared" si="1"/>
        <v>0</v>
      </c>
      <c r="CF52" s="119">
        <f t="shared" si="1"/>
        <v>0</v>
      </c>
      <c r="CG52" s="119">
        <f t="shared" si="1"/>
        <v>0</v>
      </c>
      <c r="CH52" s="119">
        <f t="shared" si="1"/>
        <v>0</v>
      </c>
      <c r="CI52" s="119">
        <f t="shared" si="1"/>
        <v>0</v>
      </c>
      <c r="CJ52" s="119">
        <f t="shared" si="1"/>
        <v>0</v>
      </c>
      <c r="CK52" s="119">
        <f t="shared" si="1"/>
        <v>0</v>
      </c>
      <c r="CL52" s="119">
        <f t="shared" si="1"/>
        <v>0</v>
      </c>
      <c r="CM52" s="119">
        <f t="shared" si="1"/>
        <v>0</v>
      </c>
      <c r="CN52" s="119">
        <f t="shared" si="1"/>
        <v>0</v>
      </c>
      <c r="CO52" s="119">
        <f t="shared" si="1"/>
        <v>0</v>
      </c>
      <c r="CP52" s="119">
        <f t="shared" si="1"/>
        <v>0</v>
      </c>
      <c r="CQ52" s="119">
        <f t="shared" si="1"/>
        <v>0</v>
      </c>
      <c r="CR52" s="119">
        <f t="shared" si="1"/>
        <v>0</v>
      </c>
      <c r="CS52" s="119">
        <f t="shared" si="1"/>
        <v>0</v>
      </c>
      <c r="CT52" s="119">
        <f t="shared" si="1"/>
        <v>0</v>
      </c>
      <c r="CU52" s="119">
        <f t="shared" si="1"/>
        <v>0</v>
      </c>
      <c r="CV52" s="119">
        <f t="shared" si="1"/>
        <v>0</v>
      </c>
      <c r="CW52" s="119">
        <f t="shared" si="1"/>
        <v>0</v>
      </c>
      <c r="CX52" s="119">
        <f t="shared" si="1"/>
        <v>0</v>
      </c>
      <c r="CY52" s="137">
        <f t="shared" si="1"/>
        <v>0</v>
      </c>
    </row>
    <row r="53" spans="1:103" s="93" customFormat="1" ht="20" customHeight="1">
      <c r="A53" s="95"/>
      <c r="B53" s="135" t="str">
        <f>Calculations!A1158</f>
        <v>Buffer Storage (upstream)</v>
      </c>
      <c r="C53" s="136">
        <f>Calculations!B1158</f>
        <v>4497044.2375653535</v>
      </c>
      <c r="D53" s="119">
        <f>IF(D$50&lt;=$C$39,1/$C$39,0)</f>
        <v>0.5</v>
      </c>
      <c r="E53" s="119">
        <f t="shared" si="0"/>
        <v>0.5</v>
      </c>
      <c r="F53" s="119">
        <f t="shared" si="0"/>
        <v>0</v>
      </c>
      <c r="G53" s="119">
        <f t="shared" si="0"/>
        <v>0</v>
      </c>
      <c r="H53" s="119">
        <f t="shared" si="0"/>
        <v>0</v>
      </c>
      <c r="I53" s="119">
        <f t="shared" si="0"/>
        <v>0</v>
      </c>
      <c r="J53" s="119">
        <f t="shared" si="0"/>
        <v>0</v>
      </c>
      <c r="K53" s="119">
        <f t="shared" si="0"/>
        <v>0</v>
      </c>
      <c r="L53" s="119">
        <f t="shared" si="0"/>
        <v>0</v>
      </c>
      <c r="M53" s="119">
        <f t="shared" si="0"/>
        <v>0</v>
      </c>
      <c r="N53" s="119">
        <f t="shared" si="0"/>
        <v>0</v>
      </c>
      <c r="O53" s="119">
        <f t="shared" si="0"/>
        <v>0</v>
      </c>
      <c r="P53" s="119">
        <f t="shared" si="0"/>
        <v>0</v>
      </c>
      <c r="Q53" s="119">
        <f t="shared" si="0"/>
        <v>0</v>
      </c>
      <c r="R53" s="119">
        <f t="shared" si="0"/>
        <v>0</v>
      </c>
      <c r="S53" s="119">
        <f t="shared" si="0"/>
        <v>0</v>
      </c>
      <c r="T53" s="119">
        <f t="shared" si="0"/>
        <v>0</v>
      </c>
      <c r="U53" s="119">
        <f t="shared" si="0"/>
        <v>0</v>
      </c>
      <c r="V53" s="119">
        <f t="shared" si="0"/>
        <v>0</v>
      </c>
      <c r="W53" s="119">
        <f t="shared" si="0"/>
        <v>0</v>
      </c>
      <c r="X53" s="119">
        <f t="shared" si="0"/>
        <v>0</v>
      </c>
      <c r="Y53" s="119">
        <f t="shared" si="0"/>
        <v>0</v>
      </c>
      <c r="Z53" s="119">
        <f t="shared" si="0"/>
        <v>0</v>
      </c>
      <c r="AA53" s="119">
        <f t="shared" si="0"/>
        <v>0</v>
      </c>
      <c r="AB53" s="119">
        <f t="shared" si="0"/>
        <v>0</v>
      </c>
      <c r="AC53" s="119">
        <f t="shared" si="0"/>
        <v>0</v>
      </c>
      <c r="AD53" s="119">
        <f t="shared" si="0"/>
        <v>0</v>
      </c>
      <c r="AE53" s="119">
        <f t="shared" si="0"/>
        <v>0</v>
      </c>
      <c r="AF53" s="119">
        <f t="shared" si="0"/>
        <v>0</v>
      </c>
      <c r="AG53" s="119">
        <f t="shared" si="0"/>
        <v>0</v>
      </c>
      <c r="AH53" s="119">
        <f t="shared" si="0"/>
        <v>0</v>
      </c>
      <c r="AI53" s="119">
        <f t="shared" si="0"/>
        <v>0</v>
      </c>
      <c r="AJ53" s="119">
        <f t="shared" si="0"/>
        <v>0</v>
      </c>
      <c r="AK53" s="119">
        <f t="shared" si="0"/>
        <v>0</v>
      </c>
      <c r="AL53" s="119">
        <f t="shared" si="0"/>
        <v>0</v>
      </c>
      <c r="AM53" s="119">
        <f t="shared" si="0"/>
        <v>0</v>
      </c>
      <c r="AN53" s="119">
        <f t="shared" si="0"/>
        <v>0</v>
      </c>
      <c r="AO53" s="119">
        <f t="shared" si="0"/>
        <v>0</v>
      </c>
      <c r="AP53" s="119">
        <f t="shared" si="0"/>
        <v>0</v>
      </c>
      <c r="AQ53" s="119">
        <f t="shared" si="0"/>
        <v>0</v>
      </c>
      <c r="AR53" s="119">
        <f t="shared" si="0"/>
        <v>0</v>
      </c>
      <c r="AS53" s="119">
        <f t="shared" si="0"/>
        <v>0</v>
      </c>
      <c r="AT53" s="119">
        <f t="shared" si="0"/>
        <v>0</v>
      </c>
      <c r="AU53" s="119">
        <f t="shared" si="0"/>
        <v>0</v>
      </c>
      <c r="AV53" s="119">
        <f t="shared" si="0"/>
        <v>0</v>
      </c>
      <c r="AW53" s="119">
        <f t="shared" si="0"/>
        <v>0</v>
      </c>
      <c r="AX53" s="119">
        <f t="shared" si="0"/>
        <v>0</v>
      </c>
      <c r="AY53" s="119">
        <f t="shared" si="0"/>
        <v>0</v>
      </c>
      <c r="AZ53" s="119">
        <f t="shared" si="0"/>
        <v>0</v>
      </c>
      <c r="BA53" s="119">
        <f t="shared" si="0"/>
        <v>0</v>
      </c>
      <c r="BB53" s="119">
        <f t="shared" si="0"/>
        <v>0</v>
      </c>
      <c r="BC53" s="119">
        <f t="shared" si="0"/>
        <v>0</v>
      </c>
      <c r="BD53" s="119">
        <f t="shared" si="0"/>
        <v>0</v>
      </c>
      <c r="BE53" s="119">
        <f t="shared" si="0"/>
        <v>0</v>
      </c>
      <c r="BF53" s="119">
        <f t="shared" si="0"/>
        <v>0</v>
      </c>
      <c r="BG53" s="119">
        <f t="shared" si="0"/>
        <v>0</v>
      </c>
      <c r="BH53" s="119">
        <f t="shared" si="0"/>
        <v>0</v>
      </c>
      <c r="BI53" s="119">
        <f t="shared" si="0"/>
        <v>0</v>
      </c>
      <c r="BJ53" s="119">
        <f t="shared" si="0"/>
        <v>0</v>
      </c>
      <c r="BK53" s="119">
        <f t="shared" si="0"/>
        <v>0</v>
      </c>
      <c r="BL53" s="119">
        <f t="shared" si="0"/>
        <v>0</v>
      </c>
      <c r="BM53" s="119">
        <f t="shared" si="0"/>
        <v>0</v>
      </c>
      <c r="BN53" s="119">
        <f t="shared" si="0"/>
        <v>0</v>
      </c>
      <c r="BO53" s="119">
        <f t="shared" si="0"/>
        <v>0</v>
      </c>
      <c r="BP53" s="119">
        <f t="shared" si="0"/>
        <v>0</v>
      </c>
      <c r="BQ53" s="119">
        <f t="shared" si="1"/>
        <v>0</v>
      </c>
      <c r="BR53" s="119">
        <f t="shared" si="1"/>
        <v>0</v>
      </c>
      <c r="BS53" s="119">
        <f t="shared" si="1"/>
        <v>0</v>
      </c>
      <c r="BT53" s="119">
        <f t="shared" si="1"/>
        <v>0</v>
      </c>
      <c r="BU53" s="119">
        <f t="shared" si="1"/>
        <v>0</v>
      </c>
      <c r="BV53" s="119">
        <f t="shared" si="1"/>
        <v>0</v>
      </c>
      <c r="BW53" s="119">
        <f t="shared" si="1"/>
        <v>0</v>
      </c>
      <c r="BX53" s="119">
        <f t="shared" si="1"/>
        <v>0</v>
      </c>
      <c r="BY53" s="119">
        <f t="shared" si="1"/>
        <v>0</v>
      </c>
      <c r="BZ53" s="119">
        <f t="shared" si="1"/>
        <v>0</v>
      </c>
      <c r="CA53" s="119">
        <f t="shared" si="1"/>
        <v>0</v>
      </c>
      <c r="CB53" s="119">
        <f t="shared" si="1"/>
        <v>0</v>
      </c>
      <c r="CC53" s="119">
        <f t="shared" si="1"/>
        <v>0</v>
      </c>
      <c r="CD53" s="119">
        <f t="shared" si="1"/>
        <v>0</v>
      </c>
      <c r="CE53" s="119">
        <f t="shared" si="1"/>
        <v>0</v>
      </c>
      <c r="CF53" s="119">
        <f t="shared" si="1"/>
        <v>0</v>
      </c>
      <c r="CG53" s="119">
        <f t="shared" si="1"/>
        <v>0</v>
      </c>
      <c r="CH53" s="119">
        <f t="shared" si="1"/>
        <v>0</v>
      </c>
      <c r="CI53" s="119">
        <f t="shared" si="1"/>
        <v>0</v>
      </c>
      <c r="CJ53" s="119">
        <f t="shared" si="1"/>
        <v>0</v>
      </c>
      <c r="CK53" s="119">
        <f t="shared" si="1"/>
        <v>0</v>
      </c>
      <c r="CL53" s="119">
        <f t="shared" si="1"/>
        <v>0</v>
      </c>
      <c r="CM53" s="119">
        <f t="shared" si="1"/>
        <v>0</v>
      </c>
      <c r="CN53" s="119">
        <f t="shared" si="1"/>
        <v>0</v>
      </c>
      <c r="CO53" s="119">
        <f t="shared" si="1"/>
        <v>0</v>
      </c>
      <c r="CP53" s="119">
        <f t="shared" si="1"/>
        <v>0</v>
      </c>
      <c r="CQ53" s="119">
        <f t="shared" si="1"/>
        <v>0</v>
      </c>
      <c r="CR53" s="119">
        <f t="shared" si="1"/>
        <v>0</v>
      </c>
      <c r="CS53" s="119">
        <f t="shared" si="1"/>
        <v>0</v>
      </c>
      <c r="CT53" s="119">
        <f t="shared" si="1"/>
        <v>0</v>
      </c>
      <c r="CU53" s="119">
        <f t="shared" si="1"/>
        <v>0</v>
      </c>
      <c r="CV53" s="119">
        <f t="shared" si="1"/>
        <v>0</v>
      </c>
      <c r="CW53" s="119">
        <f t="shared" si="1"/>
        <v>0</v>
      </c>
      <c r="CX53" s="119">
        <f t="shared" si="1"/>
        <v>0</v>
      </c>
      <c r="CY53" s="138">
        <f t="shared" si="1"/>
        <v>0</v>
      </c>
    </row>
    <row r="54" spans="1:103" s="93" customFormat="1" ht="20" customHeight="1">
      <c r="A54" s="95"/>
      <c r="B54" s="135" t="str">
        <f>Calculations!A1159</f>
        <v>Trucks</v>
      </c>
      <c r="C54" s="136">
        <f>Calculations!B1159</f>
        <v>14047174.971499998</v>
      </c>
      <c r="D54" s="119">
        <f>IF(D$50=$C$39,1,0)</f>
        <v>0</v>
      </c>
      <c r="E54" s="119">
        <f t="shared" ref="E54:BP55" si="2">IF(E$50=$C$39,1,0)</f>
        <v>1</v>
      </c>
      <c r="F54" s="119">
        <f t="shared" si="2"/>
        <v>0</v>
      </c>
      <c r="G54" s="119">
        <f t="shared" si="2"/>
        <v>0</v>
      </c>
      <c r="H54" s="119">
        <f t="shared" si="2"/>
        <v>0</v>
      </c>
      <c r="I54" s="119">
        <f t="shared" si="2"/>
        <v>0</v>
      </c>
      <c r="J54" s="119">
        <f t="shared" si="2"/>
        <v>0</v>
      </c>
      <c r="K54" s="119">
        <f t="shared" si="2"/>
        <v>0</v>
      </c>
      <c r="L54" s="119">
        <f t="shared" si="2"/>
        <v>0</v>
      </c>
      <c r="M54" s="119">
        <f t="shared" si="2"/>
        <v>0</v>
      </c>
      <c r="N54" s="119">
        <f t="shared" si="2"/>
        <v>0</v>
      </c>
      <c r="O54" s="119">
        <f t="shared" si="2"/>
        <v>0</v>
      </c>
      <c r="P54" s="119">
        <f t="shared" si="2"/>
        <v>0</v>
      </c>
      <c r="Q54" s="119">
        <f t="shared" si="2"/>
        <v>0</v>
      </c>
      <c r="R54" s="119">
        <f t="shared" si="2"/>
        <v>0</v>
      </c>
      <c r="S54" s="119">
        <f t="shared" si="2"/>
        <v>0</v>
      </c>
      <c r="T54" s="119">
        <f t="shared" si="2"/>
        <v>0</v>
      </c>
      <c r="U54" s="119">
        <f t="shared" si="2"/>
        <v>0</v>
      </c>
      <c r="V54" s="119">
        <f t="shared" si="2"/>
        <v>0</v>
      </c>
      <c r="W54" s="119">
        <f t="shared" si="2"/>
        <v>0</v>
      </c>
      <c r="X54" s="119">
        <f t="shared" si="2"/>
        <v>0</v>
      </c>
      <c r="Y54" s="119">
        <f t="shared" si="2"/>
        <v>0</v>
      </c>
      <c r="Z54" s="119">
        <f t="shared" si="2"/>
        <v>0</v>
      </c>
      <c r="AA54" s="119">
        <f t="shared" si="2"/>
        <v>0</v>
      </c>
      <c r="AB54" s="119">
        <f t="shared" si="2"/>
        <v>0</v>
      </c>
      <c r="AC54" s="119">
        <f t="shared" si="2"/>
        <v>0</v>
      </c>
      <c r="AD54" s="119">
        <f t="shared" si="2"/>
        <v>0</v>
      </c>
      <c r="AE54" s="119">
        <f t="shared" si="2"/>
        <v>0</v>
      </c>
      <c r="AF54" s="119">
        <f t="shared" si="2"/>
        <v>0</v>
      </c>
      <c r="AG54" s="119">
        <f t="shared" si="2"/>
        <v>0</v>
      </c>
      <c r="AH54" s="119">
        <f t="shared" si="2"/>
        <v>0</v>
      </c>
      <c r="AI54" s="119">
        <f t="shared" si="2"/>
        <v>0</v>
      </c>
      <c r="AJ54" s="119">
        <f t="shared" si="2"/>
        <v>0</v>
      </c>
      <c r="AK54" s="119">
        <f t="shared" si="2"/>
        <v>0</v>
      </c>
      <c r="AL54" s="119">
        <f t="shared" si="2"/>
        <v>0</v>
      </c>
      <c r="AM54" s="119">
        <f t="shared" si="2"/>
        <v>0</v>
      </c>
      <c r="AN54" s="119">
        <f t="shared" si="2"/>
        <v>0</v>
      </c>
      <c r="AO54" s="119">
        <f t="shared" si="2"/>
        <v>0</v>
      </c>
      <c r="AP54" s="119">
        <f t="shared" si="2"/>
        <v>0</v>
      </c>
      <c r="AQ54" s="119">
        <f t="shared" si="2"/>
        <v>0</v>
      </c>
      <c r="AR54" s="119">
        <f t="shared" si="2"/>
        <v>0</v>
      </c>
      <c r="AS54" s="119">
        <f t="shared" si="2"/>
        <v>0</v>
      </c>
      <c r="AT54" s="119">
        <f t="shared" si="2"/>
        <v>0</v>
      </c>
      <c r="AU54" s="119">
        <f t="shared" si="2"/>
        <v>0</v>
      </c>
      <c r="AV54" s="119">
        <f t="shared" si="2"/>
        <v>0</v>
      </c>
      <c r="AW54" s="119">
        <f t="shared" si="2"/>
        <v>0</v>
      </c>
      <c r="AX54" s="119">
        <f t="shared" si="2"/>
        <v>0</v>
      </c>
      <c r="AY54" s="119">
        <f t="shared" si="2"/>
        <v>0</v>
      </c>
      <c r="AZ54" s="119">
        <f t="shared" si="2"/>
        <v>0</v>
      </c>
      <c r="BA54" s="119">
        <f t="shared" si="2"/>
        <v>0</v>
      </c>
      <c r="BB54" s="119">
        <f t="shared" si="2"/>
        <v>0</v>
      </c>
      <c r="BC54" s="119">
        <f t="shared" si="2"/>
        <v>0</v>
      </c>
      <c r="BD54" s="119">
        <f t="shared" si="2"/>
        <v>0</v>
      </c>
      <c r="BE54" s="119">
        <f t="shared" si="2"/>
        <v>0</v>
      </c>
      <c r="BF54" s="119">
        <f t="shared" si="2"/>
        <v>0</v>
      </c>
      <c r="BG54" s="119">
        <f t="shared" si="2"/>
        <v>0</v>
      </c>
      <c r="BH54" s="119">
        <f t="shared" si="2"/>
        <v>0</v>
      </c>
      <c r="BI54" s="119">
        <f t="shared" si="2"/>
        <v>0</v>
      </c>
      <c r="BJ54" s="119">
        <f t="shared" si="2"/>
        <v>0</v>
      </c>
      <c r="BK54" s="119">
        <f t="shared" si="2"/>
        <v>0</v>
      </c>
      <c r="BL54" s="119">
        <f t="shared" si="2"/>
        <v>0</v>
      </c>
      <c r="BM54" s="119">
        <f t="shared" si="2"/>
        <v>0</v>
      </c>
      <c r="BN54" s="119">
        <f t="shared" si="2"/>
        <v>0</v>
      </c>
      <c r="BO54" s="119">
        <f t="shared" si="2"/>
        <v>0</v>
      </c>
      <c r="BP54" s="119">
        <f t="shared" si="2"/>
        <v>0</v>
      </c>
      <c r="BQ54" s="119">
        <f t="shared" ref="BQ54:CY56" si="3">IF(BQ$50=$C$39,1,0)</f>
        <v>0</v>
      </c>
      <c r="BR54" s="119">
        <f t="shared" si="3"/>
        <v>0</v>
      </c>
      <c r="BS54" s="119">
        <f t="shared" si="3"/>
        <v>0</v>
      </c>
      <c r="BT54" s="119">
        <f t="shared" si="3"/>
        <v>0</v>
      </c>
      <c r="BU54" s="119">
        <f t="shared" si="3"/>
        <v>0</v>
      </c>
      <c r="BV54" s="119">
        <f t="shared" si="3"/>
        <v>0</v>
      </c>
      <c r="BW54" s="119">
        <f t="shared" si="3"/>
        <v>0</v>
      </c>
      <c r="BX54" s="119">
        <f t="shared" si="3"/>
        <v>0</v>
      </c>
      <c r="BY54" s="119">
        <f t="shared" si="3"/>
        <v>0</v>
      </c>
      <c r="BZ54" s="119">
        <f t="shared" si="3"/>
        <v>0</v>
      </c>
      <c r="CA54" s="119">
        <f t="shared" si="3"/>
        <v>0</v>
      </c>
      <c r="CB54" s="119">
        <f t="shared" si="3"/>
        <v>0</v>
      </c>
      <c r="CC54" s="119">
        <f t="shared" si="3"/>
        <v>0</v>
      </c>
      <c r="CD54" s="119">
        <f t="shared" si="3"/>
        <v>0</v>
      </c>
      <c r="CE54" s="119">
        <f t="shared" si="3"/>
        <v>0</v>
      </c>
      <c r="CF54" s="119">
        <f t="shared" si="3"/>
        <v>0</v>
      </c>
      <c r="CG54" s="119">
        <f t="shared" si="3"/>
        <v>0</v>
      </c>
      <c r="CH54" s="119">
        <f t="shared" si="3"/>
        <v>0</v>
      </c>
      <c r="CI54" s="119">
        <f t="shared" si="3"/>
        <v>0</v>
      </c>
      <c r="CJ54" s="119">
        <f t="shared" si="3"/>
        <v>0</v>
      </c>
      <c r="CK54" s="119">
        <f t="shared" si="3"/>
        <v>0</v>
      </c>
      <c r="CL54" s="119">
        <f t="shared" si="3"/>
        <v>0</v>
      </c>
      <c r="CM54" s="119">
        <f t="shared" si="3"/>
        <v>0</v>
      </c>
      <c r="CN54" s="119">
        <f t="shared" si="3"/>
        <v>0</v>
      </c>
      <c r="CO54" s="119">
        <f t="shared" si="3"/>
        <v>0</v>
      </c>
      <c r="CP54" s="119">
        <f t="shared" si="3"/>
        <v>0</v>
      </c>
      <c r="CQ54" s="119">
        <f t="shared" si="3"/>
        <v>0</v>
      </c>
      <c r="CR54" s="119">
        <f t="shared" si="3"/>
        <v>0</v>
      </c>
      <c r="CS54" s="119">
        <f t="shared" si="3"/>
        <v>0</v>
      </c>
      <c r="CT54" s="119">
        <f t="shared" si="3"/>
        <v>0</v>
      </c>
      <c r="CU54" s="119">
        <f t="shared" si="3"/>
        <v>0</v>
      </c>
      <c r="CV54" s="119">
        <f t="shared" si="3"/>
        <v>0</v>
      </c>
      <c r="CW54" s="119">
        <f t="shared" si="3"/>
        <v>0</v>
      </c>
      <c r="CX54" s="119">
        <f t="shared" si="3"/>
        <v>0</v>
      </c>
      <c r="CY54" s="138">
        <f t="shared" si="3"/>
        <v>0</v>
      </c>
    </row>
    <row r="55" spans="1:103" s="93" customFormat="1" ht="20" customHeight="1">
      <c r="A55" s="95"/>
      <c r="B55" s="135" t="str">
        <f>Calculations!A1160</f>
        <v>Flatbed Trailers</v>
      </c>
      <c r="C55" s="136">
        <f>Calculations!B1160</f>
        <v>0</v>
      </c>
      <c r="D55" s="119">
        <f t="shared" ref="D55:S56" si="4">IF(D$50=$C$39,1,0)</f>
        <v>0</v>
      </c>
      <c r="E55" s="119">
        <f t="shared" si="4"/>
        <v>1</v>
      </c>
      <c r="F55" s="119">
        <f t="shared" si="4"/>
        <v>0</v>
      </c>
      <c r="G55" s="119">
        <f t="shared" si="4"/>
        <v>0</v>
      </c>
      <c r="H55" s="119">
        <f t="shared" si="4"/>
        <v>0</v>
      </c>
      <c r="I55" s="119">
        <f t="shared" si="4"/>
        <v>0</v>
      </c>
      <c r="J55" s="119">
        <f t="shared" si="4"/>
        <v>0</v>
      </c>
      <c r="K55" s="119">
        <f t="shared" si="4"/>
        <v>0</v>
      </c>
      <c r="L55" s="119">
        <f t="shared" si="4"/>
        <v>0</v>
      </c>
      <c r="M55" s="119">
        <f t="shared" si="4"/>
        <v>0</v>
      </c>
      <c r="N55" s="119">
        <f t="shared" si="4"/>
        <v>0</v>
      </c>
      <c r="O55" s="119">
        <f t="shared" si="4"/>
        <v>0</v>
      </c>
      <c r="P55" s="119">
        <f t="shared" si="4"/>
        <v>0</v>
      </c>
      <c r="Q55" s="119">
        <f t="shared" si="4"/>
        <v>0</v>
      </c>
      <c r="R55" s="119">
        <f t="shared" si="4"/>
        <v>0</v>
      </c>
      <c r="S55" s="119">
        <f t="shared" si="4"/>
        <v>0</v>
      </c>
      <c r="T55" s="119">
        <f t="shared" si="2"/>
        <v>0</v>
      </c>
      <c r="U55" s="119">
        <f t="shared" si="2"/>
        <v>0</v>
      </c>
      <c r="V55" s="119">
        <f t="shared" si="2"/>
        <v>0</v>
      </c>
      <c r="W55" s="119">
        <f t="shared" si="2"/>
        <v>0</v>
      </c>
      <c r="X55" s="119">
        <f t="shared" si="2"/>
        <v>0</v>
      </c>
      <c r="Y55" s="119">
        <f t="shared" si="2"/>
        <v>0</v>
      </c>
      <c r="Z55" s="119">
        <f t="shared" si="2"/>
        <v>0</v>
      </c>
      <c r="AA55" s="119">
        <f t="shared" si="2"/>
        <v>0</v>
      </c>
      <c r="AB55" s="119">
        <f t="shared" si="2"/>
        <v>0</v>
      </c>
      <c r="AC55" s="119">
        <f t="shared" si="2"/>
        <v>0</v>
      </c>
      <c r="AD55" s="119">
        <f t="shared" si="2"/>
        <v>0</v>
      </c>
      <c r="AE55" s="119">
        <f t="shared" si="2"/>
        <v>0</v>
      </c>
      <c r="AF55" s="119">
        <f t="shared" si="2"/>
        <v>0</v>
      </c>
      <c r="AG55" s="119">
        <f t="shared" si="2"/>
        <v>0</v>
      </c>
      <c r="AH55" s="119">
        <f t="shared" si="2"/>
        <v>0</v>
      </c>
      <c r="AI55" s="119">
        <f t="shared" si="2"/>
        <v>0</v>
      </c>
      <c r="AJ55" s="119">
        <f t="shared" si="2"/>
        <v>0</v>
      </c>
      <c r="AK55" s="119">
        <f t="shared" si="2"/>
        <v>0</v>
      </c>
      <c r="AL55" s="119">
        <f t="shared" si="2"/>
        <v>0</v>
      </c>
      <c r="AM55" s="119">
        <f t="shared" si="2"/>
        <v>0</v>
      </c>
      <c r="AN55" s="119">
        <f t="shared" si="2"/>
        <v>0</v>
      </c>
      <c r="AO55" s="119">
        <f t="shared" si="2"/>
        <v>0</v>
      </c>
      <c r="AP55" s="119">
        <f t="shared" si="2"/>
        <v>0</v>
      </c>
      <c r="AQ55" s="119">
        <f t="shared" si="2"/>
        <v>0</v>
      </c>
      <c r="AR55" s="119">
        <f t="shared" si="2"/>
        <v>0</v>
      </c>
      <c r="AS55" s="119">
        <f t="shared" si="2"/>
        <v>0</v>
      </c>
      <c r="AT55" s="119">
        <f t="shared" si="2"/>
        <v>0</v>
      </c>
      <c r="AU55" s="119">
        <f t="shared" si="2"/>
        <v>0</v>
      </c>
      <c r="AV55" s="119">
        <f t="shared" si="2"/>
        <v>0</v>
      </c>
      <c r="AW55" s="119">
        <f t="shared" si="2"/>
        <v>0</v>
      </c>
      <c r="AX55" s="119">
        <f t="shared" si="2"/>
        <v>0</v>
      </c>
      <c r="AY55" s="119">
        <f t="shared" si="2"/>
        <v>0</v>
      </c>
      <c r="AZ55" s="119">
        <f t="shared" si="2"/>
        <v>0</v>
      </c>
      <c r="BA55" s="119">
        <f t="shared" si="2"/>
        <v>0</v>
      </c>
      <c r="BB55" s="119">
        <f t="shared" si="2"/>
        <v>0</v>
      </c>
      <c r="BC55" s="119">
        <f t="shared" si="2"/>
        <v>0</v>
      </c>
      <c r="BD55" s="119">
        <f t="shared" si="2"/>
        <v>0</v>
      </c>
      <c r="BE55" s="119">
        <f t="shared" si="2"/>
        <v>0</v>
      </c>
      <c r="BF55" s="119">
        <f t="shared" si="2"/>
        <v>0</v>
      </c>
      <c r="BG55" s="119">
        <f t="shared" si="2"/>
        <v>0</v>
      </c>
      <c r="BH55" s="119">
        <f t="shared" si="2"/>
        <v>0</v>
      </c>
      <c r="BI55" s="119">
        <f t="shared" si="2"/>
        <v>0</v>
      </c>
      <c r="BJ55" s="119">
        <f t="shared" si="2"/>
        <v>0</v>
      </c>
      <c r="BK55" s="119">
        <f t="shared" si="2"/>
        <v>0</v>
      </c>
      <c r="BL55" s="119">
        <f t="shared" si="2"/>
        <v>0</v>
      </c>
      <c r="BM55" s="119">
        <f t="shared" si="2"/>
        <v>0</v>
      </c>
      <c r="BN55" s="119">
        <f t="shared" si="2"/>
        <v>0</v>
      </c>
      <c r="BO55" s="119">
        <f t="shared" si="2"/>
        <v>0</v>
      </c>
      <c r="BP55" s="119">
        <f t="shared" si="2"/>
        <v>0</v>
      </c>
      <c r="BQ55" s="119">
        <f t="shared" si="3"/>
        <v>0</v>
      </c>
      <c r="BR55" s="119">
        <f t="shared" si="3"/>
        <v>0</v>
      </c>
      <c r="BS55" s="119">
        <f t="shared" si="3"/>
        <v>0</v>
      </c>
      <c r="BT55" s="119">
        <f t="shared" si="3"/>
        <v>0</v>
      </c>
      <c r="BU55" s="119">
        <f t="shared" si="3"/>
        <v>0</v>
      </c>
      <c r="BV55" s="119">
        <f t="shared" si="3"/>
        <v>0</v>
      </c>
      <c r="BW55" s="119">
        <f t="shared" si="3"/>
        <v>0</v>
      </c>
      <c r="BX55" s="119">
        <f t="shared" si="3"/>
        <v>0</v>
      </c>
      <c r="BY55" s="119">
        <f t="shared" si="3"/>
        <v>0</v>
      </c>
      <c r="BZ55" s="119">
        <f t="shared" si="3"/>
        <v>0</v>
      </c>
      <c r="CA55" s="119">
        <f t="shared" si="3"/>
        <v>0</v>
      </c>
      <c r="CB55" s="119">
        <f t="shared" si="3"/>
        <v>0</v>
      </c>
      <c r="CC55" s="119">
        <f t="shared" si="3"/>
        <v>0</v>
      </c>
      <c r="CD55" s="119">
        <f t="shared" si="3"/>
        <v>0</v>
      </c>
      <c r="CE55" s="119">
        <f t="shared" si="3"/>
        <v>0</v>
      </c>
      <c r="CF55" s="119">
        <f t="shared" si="3"/>
        <v>0</v>
      </c>
      <c r="CG55" s="119">
        <f t="shared" si="3"/>
        <v>0</v>
      </c>
      <c r="CH55" s="119">
        <f t="shared" si="3"/>
        <v>0</v>
      </c>
      <c r="CI55" s="119">
        <f t="shared" si="3"/>
        <v>0</v>
      </c>
      <c r="CJ55" s="119">
        <f t="shared" si="3"/>
        <v>0</v>
      </c>
      <c r="CK55" s="119">
        <f t="shared" si="3"/>
        <v>0</v>
      </c>
      <c r="CL55" s="119">
        <f t="shared" si="3"/>
        <v>0</v>
      </c>
      <c r="CM55" s="119">
        <f t="shared" si="3"/>
        <v>0</v>
      </c>
      <c r="CN55" s="119">
        <f t="shared" si="3"/>
        <v>0</v>
      </c>
      <c r="CO55" s="119">
        <f t="shared" si="3"/>
        <v>0</v>
      </c>
      <c r="CP55" s="119">
        <f t="shared" si="3"/>
        <v>0</v>
      </c>
      <c r="CQ55" s="119">
        <f t="shared" si="3"/>
        <v>0</v>
      </c>
      <c r="CR55" s="119">
        <f t="shared" si="3"/>
        <v>0</v>
      </c>
      <c r="CS55" s="119">
        <f t="shared" si="3"/>
        <v>0</v>
      </c>
      <c r="CT55" s="119">
        <f t="shared" si="3"/>
        <v>0</v>
      </c>
      <c r="CU55" s="119">
        <f t="shared" si="3"/>
        <v>0</v>
      </c>
      <c r="CV55" s="119">
        <f t="shared" si="3"/>
        <v>0</v>
      </c>
      <c r="CW55" s="119">
        <f t="shared" si="3"/>
        <v>0</v>
      </c>
      <c r="CX55" s="119">
        <f t="shared" si="3"/>
        <v>0</v>
      </c>
      <c r="CY55" s="138">
        <f t="shared" si="3"/>
        <v>0</v>
      </c>
    </row>
    <row r="56" spans="1:103" s="93" customFormat="1" ht="20" customHeight="1">
      <c r="A56" s="95"/>
      <c r="B56" s="135" t="str">
        <f>Calculations!A1161</f>
        <v>LCO2 Containers</v>
      </c>
      <c r="C56" s="136">
        <f>Calculations!B1161</f>
        <v>3980052.299272499</v>
      </c>
      <c r="D56" s="119">
        <f t="shared" si="4"/>
        <v>0</v>
      </c>
      <c r="E56" s="119">
        <f t="shared" si="4"/>
        <v>1</v>
      </c>
      <c r="F56" s="119">
        <f t="shared" si="4"/>
        <v>0</v>
      </c>
      <c r="G56" s="119">
        <f t="shared" si="4"/>
        <v>0</v>
      </c>
      <c r="H56" s="119">
        <f t="shared" si="4"/>
        <v>0</v>
      </c>
      <c r="I56" s="119">
        <f t="shared" ref="I56:BT56" si="5">IF(I$50=$C$39,1,0)</f>
        <v>0</v>
      </c>
      <c r="J56" s="119">
        <f t="shared" si="5"/>
        <v>0</v>
      </c>
      <c r="K56" s="119">
        <f t="shared" si="5"/>
        <v>0</v>
      </c>
      <c r="L56" s="119">
        <f t="shared" si="5"/>
        <v>0</v>
      </c>
      <c r="M56" s="119">
        <f t="shared" si="5"/>
        <v>0</v>
      </c>
      <c r="N56" s="119">
        <f t="shared" si="5"/>
        <v>0</v>
      </c>
      <c r="O56" s="119">
        <f t="shared" si="5"/>
        <v>0</v>
      </c>
      <c r="P56" s="119">
        <f t="shared" si="5"/>
        <v>0</v>
      </c>
      <c r="Q56" s="119">
        <f t="shared" si="5"/>
        <v>0</v>
      </c>
      <c r="R56" s="119">
        <f t="shared" si="5"/>
        <v>0</v>
      </c>
      <c r="S56" s="119">
        <f t="shared" si="5"/>
        <v>0</v>
      </c>
      <c r="T56" s="119">
        <f t="shared" si="5"/>
        <v>0</v>
      </c>
      <c r="U56" s="119">
        <f t="shared" si="5"/>
        <v>0</v>
      </c>
      <c r="V56" s="119">
        <f t="shared" si="5"/>
        <v>0</v>
      </c>
      <c r="W56" s="119">
        <f t="shared" si="5"/>
        <v>0</v>
      </c>
      <c r="X56" s="119">
        <f t="shared" si="5"/>
        <v>0</v>
      </c>
      <c r="Y56" s="119">
        <f t="shared" si="5"/>
        <v>0</v>
      </c>
      <c r="Z56" s="119">
        <f t="shared" si="5"/>
        <v>0</v>
      </c>
      <c r="AA56" s="119">
        <f t="shared" si="5"/>
        <v>0</v>
      </c>
      <c r="AB56" s="119">
        <f t="shared" si="5"/>
        <v>0</v>
      </c>
      <c r="AC56" s="119">
        <f t="shared" si="5"/>
        <v>0</v>
      </c>
      <c r="AD56" s="119">
        <f t="shared" si="5"/>
        <v>0</v>
      </c>
      <c r="AE56" s="119">
        <f t="shared" si="5"/>
        <v>0</v>
      </c>
      <c r="AF56" s="119">
        <f t="shared" si="5"/>
        <v>0</v>
      </c>
      <c r="AG56" s="119">
        <f t="shared" si="5"/>
        <v>0</v>
      </c>
      <c r="AH56" s="119">
        <f t="shared" si="5"/>
        <v>0</v>
      </c>
      <c r="AI56" s="119">
        <f t="shared" si="5"/>
        <v>0</v>
      </c>
      <c r="AJ56" s="119">
        <f t="shared" si="5"/>
        <v>0</v>
      </c>
      <c r="AK56" s="119">
        <f t="shared" si="5"/>
        <v>0</v>
      </c>
      <c r="AL56" s="119">
        <f t="shared" si="5"/>
        <v>0</v>
      </c>
      <c r="AM56" s="119">
        <f t="shared" si="5"/>
        <v>0</v>
      </c>
      <c r="AN56" s="119">
        <f t="shared" si="5"/>
        <v>0</v>
      </c>
      <c r="AO56" s="119">
        <f t="shared" si="5"/>
        <v>0</v>
      </c>
      <c r="AP56" s="119">
        <f t="shared" si="5"/>
        <v>0</v>
      </c>
      <c r="AQ56" s="119">
        <f t="shared" si="5"/>
        <v>0</v>
      </c>
      <c r="AR56" s="119">
        <f t="shared" si="5"/>
        <v>0</v>
      </c>
      <c r="AS56" s="119">
        <f t="shared" si="5"/>
        <v>0</v>
      </c>
      <c r="AT56" s="119">
        <f t="shared" si="5"/>
        <v>0</v>
      </c>
      <c r="AU56" s="119">
        <f t="shared" si="5"/>
        <v>0</v>
      </c>
      <c r="AV56" s="119">
        <f t="shared" si="5"/>
        <v>0</v>
      </c>
      <c r="AW56" s="119">
        <f t="shared" si="5"/>
        <v>0</v>
      </c>
      <c r="AX56" s="119">
        <f t="shared" si="5"/>
        <v>0</v>
      </c>
      <c r="AY56" s="119">
        <f t="shared" si="5"/>
        <v>0</v>
      </c>
      <c r="AZ56" s="119">
        <f t="shared" si="5"/>
        <v>0</v>
      </c>
      <c r="BA56" s="119">
        <f t="shared" si="5"/>
        <v>0</v>
      </c>
      <c r="BB56" s="119">
        <f t="shared" si="5"/>
        <v>0</v>
      </c>
      <c r="BC56" s="119">
        <f t="shared" si="5"/>
        <v>0</v>
      </c>
      <c r="BD56" s="119">
        <f t="shared" si="5"/>
        <v>0</v>
      </c>
      <c r="BE56" s="119">
        <f t="shared" si="5"/>
        <v>0</v>
      </c>
      <c r="BF56" s="119">
        <f t="shared" si="5"/>
        <v>0</v>
      </c>
      <c r="BG56" s="119">
        <f t="shared" si="5"/>
        <v>0</v>
      </c>
      <c r="BH56" s="119">
        <f t="shared" si="5"/>
        <v>0</v>
      </c>
      <c r="BI56" s="119">
        <f t="shared" si="5"/>
        <v>0</v>
      </c>
      <c r="BJ56" s="119">
        <f t="shared" si="5"/>
        <v>0</v>
      </c>
      <c r="BK56" s="119">
        <f t="shared" si="5"/>
        <v>0</v>
      </c>
      <c r="BL56" s="119">
        <f t="shared" si="5"/>
        <v>0</v>
      </c>
      <c r="BM56" s="119">
        <f t="shared" si="5"/>
        <v>0</v>
      </c>
      <c r="BN56" s="119">
        <f t="shared" si="5"/>
        <v>0</v>
      </c>
      <c r="BO56" s="119">
        <f t="shared" si="5"/>
        <v>0</v>
      </c>
      <c r="BP56" s="119">
        <f t="shared" si="5"/>
        <v>0</v>
      </c>
      <c r="BQ56" s="119">
        <f t="shared" si="5"/>
        <v>0</v>
      </c>
      <c r="BR56" s="119">
        <f t="shared" si="5"/>
        <v>0</v>
      </c>
      <c r="BS56" s="119">
        <f t="shared" si="5"/>
        <v>0</v>
      </c>
      <c r="BT56" s="119">
        <f t="shared" si="5"/>
        <v>0</v>
      </c>
      <c r="BU56" s="119">
        <f t="shared" si="3"/>
        <v>0</v>
      </c>
      <c r="BV56" s="119">
        <f t="shared" si="3"/>
        <v>0</v>
      </c>
      <c r="BW56" s="119">
        <f t="shared" si="3"/>
        <v>0</v>
      </c>
      <c r="BX56" s="119">
        <f t="shared" si="3"/>
        <v>0</v>
      </c>
      <c r="BY56" s="119">
        <f t="shared" si="3"/>
        <v>0</v>
      </c>
      <c r="BZ56" s="119">
        <f t="shared" si="3"/>
        <v>0</v>
      </c>
      <c r="CA56" s="119">
        <f t="shared" si="3"/>
        <v>0</v>
      </c>
      <c r="CB56" s="119">
        <f t="shared" si="3"/>
        <v>0</v>
      </c>
      <c r="CC56" s="119">
        <f t="shared" si="3"/>
        <v>0</v>
      </c>
      <c r="CD56" s="119">
        <f t="shared" si="3"/>
        <v>0</v>
      </c>
      <c r="CE56" s="119">
        <f t="shared" si="3"/>
        <v>0</v>
      </c>
      <c r="CF56" s="119">
        <f t="shared" si="3"/>
        <v>0</v>
      </c>
      <c r="CG56" s="119">
        <f t="shared" si="3"/>
        <v>0</v>
      </c>
      <c r="CH56" s="119">
        <f t="shared" si="3"/>
        <v>0</v>
      </c>
      <c r="CI56" s="119">
        <f t="shared" si="3"/>
        <v>0</v>
      </c>
      <c r="CJ56" s="119">
        <f t="shared" si="3"/>
        <v>0</v>
      </c>
      <c r="CK56" s="119">
        <f t="shared" si="3"/>
        <v>0</v>
      </c>
      <c r="CL56" s="119">
        <f t="shared" si="3"/>
        <v>0</v>
      </c>
      <c r="CM56" s="119">
        <f t="shared" si="3"/>
        <v>0</v>
      </c>
      <c r="CN56" s="119">
        <f t="shared" si="3"/>
        <v>0</v>
      </c>
      <c r="CO56" s="119">
        <f t="shared" si="3"/>
        <v>0</v>
      </c>
      <c r="CP56" s="119">
        <f t="shared" si="3"/>
        <v>0</v>
      </c>
      <c r="CQ56" s="119">
        <f t="shared" si="3"/>
        <v>0</v>
      </c>
      <c r="CR56" s="119">
        <f t="shared" si="3"/>
        <v>0</v>
      </c>
      <c r="CS56" s="119">
        <f t="shared" si="3"/>
        <v>0</v>
      </c>
      <c r="CT56" s="119">
        <f t="shared" si="3"/>
        <v>0</v>
      </c>
      <c r="CU56" s="119">
        <f t="shared" si="3"/>
        <v>0</v>
      </c>
      <c r="CV56" s="119">
        <f t="shared" si="3"/>
        <v>0</v>
      </c>
      <c r="CW56" s="119">
        <f t="shared" si="3"/>
        <v>0</v>
      </c>
      <c r="CX56" s="119">
        <f t="shared" si="3"/>
        <v>0</v>
      </c>
      <c r="CY56" s="138">
        <f t="shared" si="3"/>
        <v>0</v>
      </c>
    </row>
    <row r="57" spans="1:103" s="93" customFormat="1" ht="20" customHeight="1">
      <c r="A57" s="95"/>
      <c r="B57" s="135" t="str">
        <f>Calculations!A1162</f>
        <v>Intermediate storage</v>
      </c>
      <c r="C57" s="136">
        <f>Calculations!B1162</f>
        <v>0</v>
      </c>
      <c r="D57" s="119">
        <f t="shared" ref="D57:S59" si="6">IF(D$50&lt;=$C$39,1/$C$39,0)</f>
        <v>0.5</v>
      </c>
      <c r="E57" s="119">
        <f t="shared" si="6"/>
        <v>0.5</v>
      </c>
      <c r="F57" s="119">
        <f t="shared" si="6"/>
        <v>0</v>
      </c>
      <c r="G57" s="119">
        <f t="shared" si="6"/>
        <v>0</v>
      </c>
      <c r="H57" s="119">
        <f t="shared" si="6"/>
        <v>0</v>
      </c>
      <c r="I57" s="119">
        <f t="shared" si="6"/>
        <v>0</v>
      </c>
      <c r="J57" s="119">
        <f t="shared" si="6"/>
        <v>0</v>
      </c>
      <c r="K57" s="119">
        <f t="shared" si="6"/>
        <v>0</v>
      </c>
      <c r="L57" s="119">
        <f t="shared" si="6"/>
        <v>0</v>
      </c>
      <c r="M57" s="119">
        <f t="shared" si="6"/>
        <v>0</v>
      </c>
      <c r="N57" s="119">
        <f t="shared" si="6"/>
        <v>0</v>
      </c>
      <c r="O57" s="119">
        <f t="shared" si="6"/>
        <v>0</v>
      </c>
      <c r="P57" s="119">
        <f t="shared" si="6"/>
        <v>0</v>
      </c>
      <c r="Q57" s="119">
        <f t="shared" si="6"/>
        <v>0</v>
      </c>
      <c r="R57" s="119">
        <f t="shared" si="6"/>
        <v>0</v>
      </c>
      <c r="S57" s="119">
        <f t="shared" si="6"/>
        <v>0</v>
      </c>
      <c r="T57" s="119">
        <f t="shared" ref="T57:CE59" si="7">IF(T$50&lt;=$C$39,1/$C$39,0)</f>
        <v>0</v>
      </c>
      <c r="U57" s="119">
        <f t="shared" si="7"/>
        <v>0</v>
      </c>
      <c r="V57" s="119">
        <f t="shared" si="7"/>
        <v>0</v>
      </c>
      <c r="W57" s="119">
        <f t="shared" si="7"/>
        <v>0</v>
      </c>
      <c r="X57" s="119">
        <f t="shared" si="7"/>
        <v>0</v>
      </c>
      <c r="Y57" s="119">
        <f t="shared" si="7"/>
        <v>0</v>
      </c>
      <c r="Z57" s="119">
        <f t="shared" si="7"/>
        <v>0</v>
      </c>
      <c r="AA57" s="119">
        <f t="shared" si="7"/>
        <v>0</v>
      </c>
      <c r="AB57" s="119">
        <f t="shared" si="7"/>
        <v>0</v>
      </c>
      <c r="AC57" s="119">
        <f t="shared" si="7"/>
        <v>0</v>
      </c>
      <c r="AD57" s="119">
        <f t="shared" si="7"/>
        <v>0</v>
      </c>
      <c r="AE57" s="119">
        <f t="shared" si="7"/>
        <v>0</v>
      </c>
      <c r="AF57" s="119">
        <f t="shared" si="7"/>
        <v>0</v>
      </c>
      <c r="AG57" s="119">
        <f t="shared" si="7"/>
        <v>0</v>
      </c>
      <c r="AH57" s="119">
        <f t="shared" si="7"/>
        <v>0</v>
      </c>
      <c r="AI57" s="119">
        <f t="shared" si="7"/>
        <v>0</v>
      </c>
      <c r="AJ57" s="119">
        <f t="shared" si="7"/>
        <v>0</v>
      </c>
      <c r="AK57" s="119">
        <f t="shared" si="7"/>
        <v>0</v>
      </c>
      <c r="AL57" s="119">
        <f t="shared" si="7"/>
        <v>0</v>
      </c>
      <c r="AM57" s="119">
        <f t="shared" si="7"/>
        <v>0</v>
      </c>
      <c r="AN57" s="119">
        <f t="shared" si="7"/>
        <v>0</v>
      </c>
      <c r="AO57" s="119">
        <f t="shared" si="7"/>
        <v>0</v>
      </c>
      <c r="AP57" s="119">
        <f t="shared" si="7"/>
        <v>0</v>
      </c>
      <c r="AQ57" s="119">
        <f t="shared" si="7"/>
        <v>0</v>
      </c>
      <c r="AR57" s="119">
        <f t="shared" si="7"/>
        <v>0</v>
      </c>
      <c r="AS57" s="119">
        <f t="shared" si="7"/>
        <v>0</v>
      </c>
      <c r="AT57" s="119">
        <f t="shared" si="7"/>
        <v>0</v>
      </c>
      <c r="AU57" s="119">
        <f t="shared" si="7"/>
        <v>0</v>
      </c>
      <c r="AV57" s="119">
        <f t="shared" si="7"/>
        <v>0</v>
      </c>
      <c r="AW57" s="119">
        <f t="shared" si="7"/>
        <v>0</v>
      </c>
      <c r="AX57" s="119">
        <f t="shared" si="7"/>
        <v>0</v>
      </c>
      <c r="AY57" s="119">
        <f t="shared" si="7"/>
        <v>0</v>
      </c>
      <c r="AZ57" s="119">
        <f t="shared" si="7"/>
        <v>0</v>
      </c>
      <c r="BA57" s="119">
        <f t="shared" si="7"/>
        <v>0</v>
      </c>
      <c r="BB57" s="119">
        <f t="shared" si="7"/>
        <v>0</v>
      </c>
      <c r="BC57" s="119">
        <f t="shared" si="7"/>
        <v>0</v>
      </c>
      <c r="BD57" s="119">
        <f t="shared" si="7"/>
        <v>0</v>
      </c>
      <c r="BE57" s="119">
        <f t="shared" si="7"/>
        <v>0</v>
      </c>
      <c r="BF57" s="119">
        <f t="shared" si="7"/>
        <v>0</v>
      </c>
      <c r="BG57" s="119">
        <f t="shared" si="7"/>
        <v>0</v>
      </c>
      <c r="BH57" s="119">
        <f t="shared" si="7"/>
        <v>0</v>
      </c>
      <c r="BI57" s="119">
        <f t="shared" si="7"/>
        <v>0</v>
      </c>
      <c r="BJ57" s="119">
        <f t="shared" si="7"/>
        <v>0</v>
      </c>
      <c r="BK57" s="119">
        <f t="shared" si="7"/>
        <v>0</v>
      </c>
      <c r="BL57" s="119">
        <f t="shared" si="7"/>
        <v>0</v>
      </c>
      <c r="BM57" s="119">
        <f t="shared" si="7"/>
        <v>0</v>
      </c>
      <c r="BN57" s="119">
        <f t="shared" si="7"/>
        <v>0</v>
      </c>
      <c r="BO57" s="119">
        <f t="shared" si="7"/>
        <v>0</v>
      </c>
      <c r="BP57" s="119">
        <f t="shared" si="7"/>
        <v>0</v>
      </c>
      <c r="BQ57" s="119">
        <f t="shared" si="7"/>
        <v>0</v>
      </c>
      <c r="BR57" s="119">
        <f t="shared" si="7"/>
        <v>0</v>
      </c>
      <c r="BS57" s="119">
        <f t="shared" si="7"/>
        <v>0</v>
      </c>
      <c r="BT57" s="119">
        <f t="shared" si="7"/>
        <v>0</v>
      </c>
      <c r="BU57" s="119">
        <f t="shared" si="7"/>
        <v>0</v>
      </c>
      <c r="BV57" s="119">
        <f t="shared" si="7"/>
        <v>0</v>
      </c>
      <c r="BW57" s="119">
        <f t="shared" si="7"/>
        <v>0</v>
      </c>
      <c r="BX57" s="119">
        <f t="shared" si="7"/>
        <v>0</v>
      </c>
      <c r="BY57" s="119">
        <f t="shared" si="7"/>
        <v>0</v>
      </c>
      <c r="BZ57" s="119">
        <f t="shared" si="7"/>
        <v>0</v>
      </c>
      <c r="CA57" s="119">
        <f t="shared" si="7"/>
        <v>0</v>
      </c>
      <c r="CB57" s="119">
        <f t="shared" si="7"/>
        <v>0</v>
      </c>
      <c r="CC57" s="119">
        <f t="shared" si="7"/>
        <v>0</v>
      </c>
      <c r="CD57" s="119">
        <f t="shared" si="7"/>
        <v>0</v>
      </c>
      <c r="CE57" s="119">
        <f t="shared" si="7"/>
        <v>0</v>
      </c>
      <c r="CF57" s="119">
        <f t="shared" ref="CF57:CY59" si="8">IF(CF$50&lt;=$C$39,1/$C$39,0)</f>
        <v>0</v>
      </c>
      <c r="CG57" s="119">
        <f t="shared" si="8"/>
        <v>0</v>
      </c>
      <c r="CH57" s="119">
        <f t="shared" si="8"/>
        <v>0</v>
      </c>
      <c r="CI57" s="119">
        <f t="shared" si="8"/>
        <v>0</v>
      </c>
      <c r="CJ57" s="119">
        <f t="shared" si="8"/>
        <v>0</v>
      </c>
      <c r="CK57" s="119">
        <f t="shared" si="8"/>
        <v>0</v>
      </c>
      <c r="CL57" s="119">
        <f t="shared" si="8"/>
        <v>0</v>
      </c>
      <c r="CM57" s="119">
        <f t="shared" si="8"/>
        <v>0</v>
      </c>
      <c r="CN57" s="119">
        <f t="shared" si="8"/>
        <v>0</v>
      </c>
      <c r="CO57" s="119">
        <f t="shared" si="8"/>
        <v>0</v>
      </c>
      <c r="CP57" s="119">
        <f t="shared" si="8"/>
        <v>0</v>
      </c>
      <c r="CQ57" s="119">
        <f t="shared" si="8"/>
        <v>0</v>
      </c>
      <c r="CR57" s="119">
        <f t="shared" si="8"/>
        <v>0</v>
      </c>
      <c r="CS57" s="119">
        <f t="shared" si="8"/>
        <v>0</v>
      </c>
      <c r="CT57" s="119">
        <f t="shared" si="8"/>
        <v>0</v>
      </c>
      <c r="CU57" s="119">
        <f t="shared" si="8"/>
        <v>0</v>
      </c>
      <c r="CV57" s="119">
        <f t="shared" si="8"/>
        <v>0</v>
      </c>
      <c r="CW57" s="119">
        <f t="shared" si="8"/>
        <v>0</v>
      </c>
      <c r="CX57" s="119">
        <f t="shared" si="8"/>
        <v>0</v>
      </c>
      <c r="CY57" s="138">
        <f t="shared" si="8"/>
        <v>0</v>
      </c>
    </row>
    <row r="58" spans="1:103" s="93" customFormat="1" ht="20" customHeight="1">
      <c r="A58" s="95"/>
      <c r="B58" s="135" t="str">
        <f>Calculations!A1163</f>
        <v>Buffer Storage (downstream)</v>
      </c>
      <c r="C58" s="136">
        <f>Calculations!B1163</f>
        <v>4244909.5158541258</v>
      </c>
      <c r="D58" s="119">
        <f t="shared" si="6"/>
        <v>0.5</v>
      </c>
      <c r="E58" s="119">
        <f t="shared" ref="E58:BP59" si="9">IF(E$50&lt;=$C$39,1/$C$39,0)</f>
        <v>0.5</v>
      </c>
      <c r="F58" s="119">
        <f t="shared" si="9"/>
        <v>0</v>
      </c>
      <c r="G58" s="119">
        <f t="shared" si="9"/>
        <v>0</v>
      </c>
      <c r="H58" s="119">
        <f t="shared" si="9"/>
        <v>0</v>
      </c>
      <c r="I58" s="119">
        <f t="shared" si="9"/>
        <v>0</v>
      </c>
      <c r="J58" s="119">
        <f t="shared" si="9"/>
        <v>0</v>
      </c>
      <c r="K58" s="119">
        <f t="shared" si="9"/>
        <v>0</v>
      </c>
      <c r="L58" s="119">
        <f t="shared" si="9"/>
        <v>0</v>
      </c>
      <c r="M58" s="119">
        <f t="shared" si="9"/>
        <v>0</v>
      </c>
      <c r="N58" s="119">
        <f t="shared" si="9"/>
        <v>0</v>
      </c>
      <c r="O58" s="119">
        <f t="shared" si="9"/>
        <v>0</v>
      </c>
      <c r="P58" s="119">
        <f t="shared" si="9"/>
        <v>0</v>
      </c>
      <c r="Q58" s="119">
        <f t="shared" si="9"/>
        <v>0</v>
      </c>
      <c r="R58" s="119">
        <f t="shared" si="9"/>
        <v>0</v>
      </c>
      <c r="S58" s="119">
        <f t="shared" si="9"/>
        <v>0</v>
      </c>
      <c r="T58" s="119">
        <f t="shared" si="9"/>
        <v>0</v>
      </c>
      <c r="U58" s="119">
        <f t="shared" si="9"/>
        <v>0</v>
      </c>
      <c r="V58" s="119">
        <f t="shared" si="9"/>
        <v>0</v>
      </c>
      <c r="W58" s="119">
        <f t="shared" si="9"/>
        <v>0</v>
      </c>
      <c r="X58" s="119">
        <f t="shared" si="9"/>
        <v>0</v>
      </c>
      <c r="Y58" s="119">
        <f t="shared" si="9"/>
        <v>0</v>
      </c>
      <c r="Z58" s="119">
        <f t="shared" si="9"/>
        <v>0</v>
      </c>
      <c r="AA58" s="119">
        <f t="shared" si="9"/>
        <v>0</v>
      </c>
      <c r="AB58" s="119">
        <f t="shared" si="9"/>
        <v>0</v>
      </c>
      <c r="AC58" s="119">
        <f t="shared" si="9"/>
        <v>0</v>
      </c>
      <c r="AD58" s="119">
        <f t="shared" si="9"/>
        <v>0</v>
      </c>
      <c r="AE58" s="119">
        <f t="shared" si="9"/>
        <v>0</v>
      </c>
      <c r="AF58" s="119">
        <f t="shared" si="9"/>
        <v>0</v>
      </c>
      <c r="AG58" s="119">
        <f t="shared" si="9"/>
        <v>0</v>
      </c>
      <c r="AH58" s="119">
        <f t="shared" si="9"/>
        <v>0</v>
      </c>
      <c r="AI58" s="119">
        <f t="shared" si="9"/>
        <v>0</v>
      </c>
      <c r="AJ58" s="119">
        <f t="shared" si="9"/>
        <v>0</v>
      </c>
      <c r="AK58" s="119">
        <f t="shared" si="9"/>
        <v>0</v>
      </c>
      <c r="AL58" s="119">
        <f t="shared" si="9"/>
        <v>0</v>
      </c>
      <c r="AM58" s="119">
        <f t="shared" si="9"/>
        <v>0</v>
      </c>
      <c r="AN58" s="119">
        <f t="shared" si="9"/>
        <v>0</v>
      </c>
      <c r="AO58" s="119">
        <f t="shared" si="9"/>
        <v>0</v>
      </c>
      <c r="AP58" s="119">
        <f t="shared" si="9"/>
        <v>0</v>
      </c>
      <c r="AQ58" s="119">
        <f t="shared" si="9"/>
        <v>0</v>
      </c>
      <c r="AR58" s="119">
        <f t="shared" si="9"/>
        <v>0</v>
      </c>
      <c r="AS58" s="119">
        <f t="shared" si="9"/>
        <v>0</v>
      </c>
      <c r="AT58" s="119">
        <f t="shared" si="9"/>
        <v>0</v>
      </c>
      <c r="AU58" s="119">
        <f t="shared" si="9"/>
        <v>0</v>
      </c>
      <c r="AV58" s="119">
        <f t="shared" si="9"/>
        <v>0</v>
      </c>
      <c r="AW58" s="119">
        <f t="shared" si="9"/>
        <v>0</v>
      </c>
      <c r="AX58" s="119">
        <f t="shared" si="9"/>
        <v>0</v>
      </c>
      <c r="AY58" s="119">
        <f t="shared" si="9"/>
        <v>0</v>
      </c>
      <c r="AZ58" s="119">
        <f t="shared" si="9"/>
        <v>0</v>
      </c>
      <c r="BA58" s="119">
        <f t="shared" si="9"/>
        <v>0</v>
      </c>
      <c r="BB58" s="119">
        <f t="shared" si="9"/>
        <v>0</v>
      </c>
      <c r="BC58" s="119">
        <f t="shared" si="9"/>
        <v>0</v>
      </c>
      <c r="BD58" s="119">
        <f t="shared" si="9"/>
        <v>0</v>
      </c>
      <c r="BE58" s="119">
        <f t="shared" si="9"/>
        <v>0</v>
      </c>
      <c r="BF58" s="119">
        <f t="shared" si="9"/>
        <v>0</v>
      </c>
      <c r="BG58" s="119">
        <f t="shared" si="9"/>
        <v>0</v>
      </c>
      <c r="BH58" s="119">
        <f t="shared" si="9"/>
        <v>0</v>
      </c>
      <c r="BI58" s="119">
        <f t="shared" si="9"/>
        <v>0</v>
      </c>
      <c r="BJ58" s="119">
        <f t="shared" si="9"/>
        <v>0</v>
      </c>
      <c r="BK58" s="119">
        <f t="shared" si="9"/>
        <v>0</v>
      </c>
      <c r="BL58" s="119">
        <f t="shared" si="9"/>
        <v>0</v>
      </c>
      <c r="BM58" s="119">
        <f t="shared" si="9"/>
        <v>0</v>
      </c>
      <c r="BN58" s="119">
        <f t="shared" si="9"/>
        <v>0</v>
      </c>
      <c r="BO58" s="119">
        <f t="shared" si="9"/>
        <v>0</v>
      </c>
      <c r="BP58" s="119">
        <f t="shared" si="9"/>
        <v>0</v>
      </c>
      <c r="BQ58" s="119">
        <f t="shared" si="7"/>
        <v>0</v>
      </c>
      <c r="BR58" s="119">
        <f t="shared" si="7"/>
        <v>0</v>
      </c>
      <c r="BS58" s="119">
        <f t="shared" si="7"/>
        <v>0</v>
      </c>
      <c r="BT58" s="119">
        <f t="shared" si="7"/>
        <v>0</v>
      </c>
      <c r="BU58" s="119">
        <f t="shared" si="7"/>
        <v>0</v>
      </c>
      <c r="BV58" s="119">
        <f t="shared" si="7"/>
        <v>0</v>
      </c>
      <c r="BW58" s="119">
        <f t="shared" si="7"/>
        <v>0</v>
      </c>
      <c r="BX58" s="119">
        <f t="shared" si="7"/>
        <v>0</v>
      </c>
      <c r="BY58" s="119">
        <f t="shared" si="7"/>
        <v>0</v>
      </c>
      <c r="BZ58" s="119">
        <f t="shared" si="7"/>
        <v>0</v>
      </c>
      <c r="CA58" s="119">
        <f t="shared" si="7"/>
        <v>0</v>
      </c>
      <c r="CB58" s="119">
        <f t="shared" si="7"/>
        <v>0</v>
      </c>
      <c r="CC58" s="119">
        <f t="shared" si="7"/>
        <v>0</v>
      </c>
      <c r="CD58" s="119">
        <f t="shared" si="7"/>
        <v>0</v>
      </c>
      <c r="CE58" s="119">
        <f t="shared" si="7"/>
        <v>0</v>
      </c>
      <c r="CF58" s="119">
        <f t="shared" si="8"/>
        <v>0</v>
      </c>
      <c r="CG58" s="119">
        <f t="shared" si="8"/>
        <v>0</v>
      </c>
      <c r="CH58" s="119">
        <f t="shared" si="8"/>
        <v>0</v>
      </c>
      <c r="CI58" s="119">
        <f t="shared" si="8"/>
        <v>0</v>
      </c>
      <c r="CJ58" s="119">
        <f t="shared" si="8"/>
        <v>0</v>
      </c>
      <c r="CK58" s="119">
        <f t="shared" si="8"/>
        <v>0</v>
      </c>
      <c r="CL58" s="119">
        <f t="shared" si="8"/>
        <v>0</v>
      </c>
      <c r="CM58" s="119">
        <f t="shared" si="8"/>
        <v>0</v>
      </c>
      <c r="CN58" s="119">
        <f t="shared" si="8"/>
        <v>0</v>
      </c>
      <c r="CO58" s="119">
        <f t="shared" si="8"/>
        <v>0</v>
      </c>
      <c r="CP58" s="119">
        <f t="shared" si="8"/>
        <v>0</v>
      </c>
      <c r="CQ58" s="119">
        <f t="shared" si="8"/>
        <v>0</v>
      </c>
      <c r="CR58" s="119">
        <f t="shared" si="8"/>
        <v>0</v>
      </c>
      <c r="CS58" s="119">
        <f t="shared" si="8"/>
        <v>0</v>
      </c>
      <c r="CT58" s="119">
        <f t="shared" si="8"/>
        <v>0</v>
      </c>
      <c r="CU58" s="119">
        <f t="shared" si="8"/>
        <v>0</v>
      </c>
      <c r="CV58" s="119">
        <f t="shared" si="8"/>
        <v>0</v>
      </c>
      <c r="CW58" s="119">
        <f t="shared" si="8"/>
        <v>0</v>
      </c>
      <c r="CX58" s="119">
        <f t="shared" si="8"/>
        <v>0</v>
      </c>
      <c r="CY58" s="138">
        <f t="shared" si="8"/>
        <v>0</v>
      </c>
    </row>
    <row r="59" spans="1:103" s="93" customFormat="1" ht="20" customHeight="1">
      <c r="A59" s="95"/>
      <c r="B59" s="139" t="str">
        <f>Calculations!A1164</f>
        <v>Reconditioning equipment</v>
      </c>
      <c r="C59" s="140">
        <f>Calculations!B1164</f>
        <v>4659928.6785793267</v>
      </c>
      <c r="D59" s="141">
        <f t="shared" si="6"/>
        <v>0.5</v>
      </c>
      <c r="E59" s="141">
        <f t="shared" si="9"/>
        <v>0.5</v>
      </c>
      <c r="F59" s="141">
        <f t="shared" si="9"/>
        <v>0</v>
      </c>
      <c r="G59" s="141">
        <f t="shared" si="9"/>
        <v>0</v>
      </c>
      <c r="H59" s="141">
        <f t="shared" si="9"/>
        <v>0</v>
      </c>
      <c r="I59" s="141">
        <f t="shared" si="9"/>
        <v>0</v>
      </c>
      <c r="J59" s="141">
        <f t="shared" si="9"/>
        <v>0</v>
      </c>
      <c r="K59" s="141">
        <f t="shared" si="9"/>
        <v>0</v>
      </c>
      <c r="L59" s="141">
        <f t="shared" si="9"/>
        <v>0</v>
      </c>
      <c r="M59" s="141">
        <f t="shared" si="9"/>
        <v>0</v>
      </c>
      <c r="N59" s="141">
        <f t="shared" si="9"/>
        <v>0</v>
      </c>
      <c r="O59" s="141">
        <f t="shared" si="9"/>
        <v>0</v>
      </c>
      <c r="P59" s="141">
        <f t="shared" si="9"/>
        <v>0</v>
      </c>
      <c r="Q59" s="141">
        <f t="shared" si="9"/>
        <v>0</v>
      </c>
      <c r="R59" s="141">
        <f t="shared" si="9"/>
        <v>0</v>
      </c>
      <c r="S59" s="141">
        <f t="shared" si="9"/>
        <v>0</v>
      </c>
      <c r="T59" s="141">
        <f t="shared" si="9"/>
        <v>0</v>
      </c>
      <c r="U59" s="141">
        <f t="shared" si="9"/>
        <v>0</v>
      </c>
      <c r="V59" s="141">
        <f t="shared" si="9"/>
        <v>0</v>
      </c>
      <c r="W59" s="141">
        <f t="shared" si="9"/>
        <v>0</v>
      </c>
      <c r="X59" s="141">
        <f t="shared" si="9"/>
        <v>0</v>
      </c>
      <c r="Y59" s="141">
        <f t="shared" si="9"/>
        <v>0</v>
      </c>
      <c r="Z59" s="141">
        <f t="shared" si="9"/>
        <v>0</v>
      </c>
      <c r="AA59" s="141">
        <f t="shared" si="9"/>
        <v>0</v>
      </c>
      <c r="AB59" s="141">
        <f t="shared" si="9"/>
        <v>0</v>
      </c>
      <c r="AC59" s="141">
        <f t="shared" si="9"/>
        <v>0</v>
      </c>
      <c r="AD59" s="141">
        <f t="shared" si="9"/>
        <v>0</v>
      </c>
      <c r="AE59" s="141">
        <f t="shared" si="9"/>
        <v>0</v>
      </c>
      <c r="AF59" s="141">
        <f t="shared" si="9"/>
        <v>0</v>
      </c>
      <c r="AG59" s="141">
        <f t="shared" si="9"/>
        <v>0</v>
      </c>
      <c r="AH59" s="141">
        <f t="shared" si="9"/>
        <v>0</v>
      </c>
      <c r="AI59" s="141">
        <f t="shared" si="9"/>
        <v>0</v>
      </c>
      <c r="AJ59" s="141">
        <f t="shared" si="9"/>
        <v>0</v>
      </c>
      <c r="AK59" s="141">
        <f t="shared" si="9"/>
        <v>0</v>
      </c>
      <c r="AL59" s="141">
        <f t="shared" si="9"/>
        <v>0</v>
      </c>
      <c r="AM59" s="141">
        <f t="shared" si="9"/>
        <v>0</v>
      </c>
      <c r="AN59" s="141">
        <f t="shared" si="9"/>
        <v>0</v>
      </c>
      <c r="AO59" s="141">
        <f t="shared" si="9"/>
        <v>0</v>
      </c>
      <c r="AP59" s="141">
        <f t="shared" si="9"/>
        <v>0</v>
      </c>
      <c r="AQ59" s="141">
        <f t="shared" si="9"/>
        <v>0</v>
      </c>
      <c r="AR59" s="141">
        <f t="shared" si="9"/>
        <v>0</v>
      </c>
      <c r="AS59" s="141">
        <f t="shared" si="9"/>
        <v>0</v>
      </c>
      <c r="AT59" s="141">
        <f t="shared" si="9"/>
        <v>0</v>
      </c>
      <c r="AU59" s="141">
        <f t="shared" si="9"/>
        <v>0</v>
      </c>
      <c r="AV59" s="141">
        <f t="shared" si="9"/>
        <v>0</v>
      </c>
      <c r="AW59" s="141">
        <f t="shared" si="9"/>
        <v>0</v>
      </c>
      <c r="AX59" s="141">
        <f t="shared" si="9"/>
        <v>0</v>
      </c>
      <c r="AY59" s="141">
        <f t="shared" si="9"/>
        <v>0</v>
      </c>
      <c r="AZ59" s="141">
        <f t="shared" si="9"/>
        <v>0</v>
      </c>
      <c r="BA59" s="141">
        <f t="shared" si="9"/>
        <v>0</v>
      </c>
      <c r="BB59" s="141">
        <f t="shared" si="9"/>
        <v>0</v>
      </c>
      <c r="BC59" s="141">
        <f t="shared" si="9"/>
        <v>0</v>
      </c>
      <c r="BD59" s="141">
        <f t="shared" si="9"/>
        <v>0</v>
      </c>
      <c r="BE59" s="141">
        <f t="shared" si="9"/>
        <v>0</v>
      </c>
      <c r="BF59" s="141">
        <f t="shared" si="9"/>
        <v>0</v>
      </c>
      <c r="BG59" s="141">
        <f t="shared" si="9"/>
        <v>0</v>
      </c>
      <c r="BH59" s="141">
        <f t="shared" si="9"/>
        <v>0</v>
      </c>
      <c r="BI59" s="141">
        <f t="shared" si="9"/>
        <v>0</v>
      </c>
      <c r="BJ59" s="141">
        <f t="shared" si="9"/>
        <v>0</v>
      </c>
      <c r="BK59" s="141">
        <f t="shared" si="9"/>
        <v>0</v>
      </c>
      <c r="BL59" s="141">
        <f t="shared" si="9"/>
        <v>0</v>
      </c>
      <c r="BM59" s="141">
        <f t="shared" si="9"/>
        <v>0</v>
      </c>
      <c r="BN59" s="141">
        <f t="shared" si="9"/>
        <v>0</v>
      </c>
      <c r="BO59" s="141">
        <f t="shared" si="9"/>
        <v>0</v>
      </c>
      <c r="BP59" s="141">
        <f t="shared" si="9"/>
        <v>0</v>
      </c>
      <c r="BQ59" s="141">
        <f t="shared" si="7"/>
        <v>0</v>
      </c>
      <c r="BR59" s="141">
        <f t="shared" si="7"/>
        <v>0</v>
      </c>
      <c r="BS59" s="141">
        <f t="shared" si="7"/>
        <v>0</v>
      </c>
      <c r="BT59" s="141">
        <f t="shared" si="7"/>
        <v>0</v>
      </c>
      <c r="BU59" s="141">
        <f t="shared" si="7"/>
        <v>0</v>
      </c>
      <c r="BV59" s="141">
        <f t="shared" si="7"/>
        <v>0</v>
      </c>
      <c r="BW59" s="141">
        <f t="shared" si="7"/>
        <v>0</v>
      </c>
      <c r="BX59" s="141">
        <f t="shared" si="7"/>
        <v>0</v>
      </c>
      <c r="BY59" s="141">
        <f t="shared" si="7"/>
        <v>0</v>
      </c>
      <c r="BZ59" s="141">
        <f t="shared" si="7"/>
        <v>0</v>
      </c>
      <c r="CA59" s="141">
        <f t="shared" si="7"/>
        <v>0</v>
      </c>
      <c r="CB59" s="141">
        <f t="shared" si="7"/>
        <v>0</v>
      </c>
      <c r="CC59" s="141">
        <f t="shared" si="7"/>
        <v>0</v>
      </c>
      <c r="CD59" s="141">
        <f t="shared" si="7"/>
        <v>0</v>
      </c>
      <c r="CE59" s="141">
        <f t="shared" si="7"/>
        <v>0</v>
      </c>
      <c r="CF59" s="141">
        <f t="shared" si="8"/>
        <v>0</v>
      </c>
      <c r="CG59" s="141">
        <f t="shared" si="8"/>
        <v>0</v>
      </c>
      <c r="CH59" s="141">
        <f t="shared" si="8"/>
        <v>0</v>
      </c>
      <c r="CI59" s="141">
        <f t="shared" si="8"/>
        <v>0</v>
      </c>
      <c r="CJ59" s="141">
        <f t="shared" si="8"/>
        <v>0</v>
      </c>
      <c r="CK59" s="141">
        <f t="shared" si="8"/>
        <v>0</v>
      </c>
      <c r="CL59" s="141">
        <f t="shared" si="8"/>
        <v>0</v>
      </c>
      <c r="CM59" s="141">
        <f t="shared" si="8"/>
        <v>0</v>
      </c>
      <c r="CN59" s="141">
        <f t="shared" si="8"/>
        <v>0</v>
      </c>
      <c r="CO59" s="141">
        <f t="shared" si="8"/>
        <v>0</v>
      </c>
      <c r="CP59" s="141">
        <f t="shared" si="8"/>
        <v>0</v>
      </c>
      <c r="CQ59" s="141">
        <f t="shared" si="8"/>
        <v>0</v>
      </c>
      <c r="CR59" s="141">
        <f t="shared" si="8"/>
        <v>0</v>
      </c>
      <c r="CS59" s="141">
        <f t="shared" si="8"/>
        <v>0</v>
      </c>
      <c r="CT59" s="141">
        <f t="shared" si="8"/>
        <v>0</v>
      </c>
      <c r="CU59" s="141">
        <f t="shared" si="8"/>
        <v>0</v>
      </c>
      <c r="CV59" s="141">
        <f t="shared" si="8"/>
        <v>0</v>
      </c>
      <c r="CW59" s="141">
        <f t="shared" si="8"/>
        <v>0</v>
      </c>
      <c r="CX59" s="141">
        <f t="shared" si="8"/>
        <v>0</v>
      </c>
      <c r="CY59" s="142">
        <f t="shared" si="8"/>
        <v>0</v>
      </c>
    </row>
    <row r="60" spans="1:103" s="93" customFormat="1" ht="20" customHeight="1">
      <c r="A60" s="95"/>
      <c r="B60" s="104" t="s">
        <v>143</v>
      </c>
      <c r="C60" s="143">
        <f>SUM(C52:C59)</f>
        <v>47959679.36833401</v>
      </c>
      <c r="D60" s="119"/>
      <c r="E60" s="119"/>
      <c r="F60" s="119"/>
      <c r="G60" s="119"/>
      <c r="H60" s="119"/>
      <c r="I60" s="119"/>
      <c r="J60" s="144"/>
      <c r="X60" s="95"/>
      <c r="Y60" s="95"/>
      <c r="Z60" s="95"/>
      <c r="AA60" s="95"/>
      <c r="AB60" s="95"/>
      <c r="AC60" s="95"/>
      <c r="AD60" s="95"/>
      <c r="AE60" s="95"/>
      <c r="AF60" s="95"/>
      <c r="AG60" s="95"/>
      <c r="AH60" s="95"/>
      <c r="AI60" s="95"/>
      <c r="AJ60" s="95"/>
      <c r="AK60" s="95"/>
      <c r="AL60" s="95"/>
      <c r="AM60" s="95"/>
      <c r="AN60" s="95"/>
      <c r="AO60" s="95"/>
      <c r="AP60" s="95"/>
      <c r="AQ60" s="95"/>
      <c r="AR60" s="95"/>
      <c r="AS60" s="95"/>
      <c r="AT60" s="95"/>
      <c r="AU60" s="95"/>
      <c r="AV60" s="95"/>
      <c r="AW60" s="95"/>
      <c r="AX60" s="95"/>
      <c r="AY60" s="95"/>
      <c r="AZ60" s="95"/>
      <c r="BA60" s="95"/>
      <c r="BB60" s="95"/>
      <c r="BC60" s="95"/>
      <c r="BD60" s="95"/>
      <c r="BE60" s="95"/>
      <c r="BF60" s="95"/>
      <c r="BG60" s="95"/>
      <c r="BH60" s="95"/>
      <c r="BI60" s="95"/>
      <c r="BJ60" s="95"/>
      <c r="BK60" s="95"/>
      <c r="BL60" s="95"/>
      <c r="BM60" s="95"/>
      <c r="BN60" s="95"/>
      <c r="BO60" s="95"/>
      <c r="BP60" s="95"/>
      <c r="BQ60" s="95"/>
      <c r="BR60" s="95"/>
      <c r="BS60" s="95"/>
      <c r="BT60" s="95"/>
      <c r="BU60" s="95"/>
      <c r="BV60" s="95"/>
      <c r="BW60" s="95"/>
      <c r="BX60" s="95"/>
      <c r="BY60" s="95"/>
      <c r="BZ60" s="95"/>
      <c r="CA60" s="95"/>
      <c r="CB60" s="95"/>
      <c r="CC60" s="95"/>
      <c r="CD60" s="95"/>
      <c r="CE60" s="95"/>
      <c r="CF60" s="95"/>
      <c r="CG60" s="95"/>
      <c r="CH60" s="95"/>
      <c r="CI60" s="95"/>
      <c r="CJ60" s="95"/>
      <c r="CK60" s="95"/>
      <c r="CL60" s="95"/>
      <c r="CM60" s="95"/>
      <c r="CN60" s="95"/>
      <c r="CO60" s="95"/>
      <c r="CP60" s="95"/>
      <c r="CQ60" s="95"/>
      <c r="CR60" s="95"/>
      <c r="CS60" s="95"/>
      <c r="CT60" s="95"/>
      <c r="CU60" s="95"/>
      <c r="CV60" s="95"/>
      <c r="CW60" s="95"/>
      <c r="CX60" s="95"/>
      <c r="CY60" s="95"/>
    </row>
    <row r="61" spans="1:103" s="93" customFormat="1" ht="20" customHeight="1">
      <c r="A61" s="95"/>
      <c r="B61" s="104"/>
      <c r="C61" s="143"/>
      <c r="D61" s="119"/>
      <c r="E61" s="119"/>
      <c r="F61" s="119"/>
      <c r="G61" s="119"/>
      <c r="H61" s="119"/>
      <c r="I61" s="119"/>
      <c r="J61" s="144"/>
      <c r="X61" s="95"/>
      <c r="Y61" s="95"/>
      <c r="Z61" s="95"/>
      <c r="AA61" s="95"/>
      <c r="AB61" s="95"/>
      <c r="AC61" s="95"/>
      <c r="AD61" s="95"/>
      <c r="AE61" s="95"/>
      <c r="AF61" s="95"/>
      <c r="AG61" s="95"/>
      <c r="AH61" s="95"/>
      <c r="AI61" s="95"/>
      <c r="AJ61" s="95"/>
      <c r="AK61" s="95"/>
      <c r="AL61" s="95"/>
      <c r="AM61" s="95"/>
      <c r="AN61" s="95"/>
      <c r="AO61" s="95"/>
      <c r="AP61" s="95"/>
      <c r="AQ61" s="95"/>
      <c r="AR61" s="95"/>
      <c r="AS61" s="95"/>
      <c r="AT61" s="95"/>
      <c r="AU61" s="95"/>
      <c r="AV61" s="95"/>
      <c r="AW61" s="95"/>
      <c r="AX61" s="95"/>
      <c r="AY61" s="95"/>
      <c r="AZ61" s="95"/>
      <c r="BA61" s="95"/>
      <c r="BB61" s="95"/>
      <c r="BC61" s="95"/>
      <c r="BD61" s="95"/>
      <c r="BE61" s="95"/>
      <c r="BF61" s="95"/>
      <c r="BG61" s="95"/>
      <c r="BH61" s="95"/>
      <c r="BI61" s="95"/>
      <c r="BJ61" s="95"/>
      <c r="BK61" s="95"/>
      <c r="BL61" s="95"/>
      <c r="BM61" s="95"/>
      <c r="BN61" s="95"/>
      <c r="BO61" s="95"/>
      <c r="BP61" s="95"/>
      <c r="BQ61" s="95"/>
      <c r="BR61" s="95"/>
      <c r="BS61" s="95"/>
      <c r="BT61" s="95"/>
      <c r="BU61" s="95"/>
      <c r="BV61" s="95"/>
      <c r="BW61" s="95"/>
      <c r="BX61" s="95"/>
      <c r="BY61" s="95"/>
      <c r="BZ61" s="95"/>
      <c r="CA61" s="95"/>
      <c r="CB61" s="95"/>
      <c r="CC61" s="95"/>
      <c r="CD61" s="95"/>
      <c r="CE61" s="95"/>
      <c r="CF61" s="95"/>
      <c r="CG61" s="95"/>
      <c r="CH61" s="95"/>
      <c r="CI61" s="95"/>
      <c r="CJ61" s="95"/>
      <c r="CK61" s="95"/>
      <c r="CL61" s="95"/>
      <c r="CM61" s="95"/>
      <c r="CN61" s="95"/>
      <c r="CO61" s="95"/>
      <c r="CP61" s="95"/>
      <c r="CQ61" s="95"/>
      <c r="CR61" s="95"/>
      <c r="CS61" s="95"/>
      <c r="CT61" s="95"/>
      <c r="CU61" s="95"/>
      <c r="CV61" s="95"/>
      <c r="CW61" s="95"/>
      <c r="CX61" s="95"/>
      <c r="CY61" s="95"/>
    </row>
    <row r="62" spans="1:103" s="93" customFormat="1" ht="20" customHeight="1">
      <c r="A62" s="95"/>
      <c r="B62" s="145" t="s">
        <v>114</v>
      </c>
      <c r="C62" s="146" t="s">
        <v>144</v>
      </c>
      <c r="D62" s="103"/>
      <c r="E62" s="119"/>
      <c r="F62" s="119"/>
      <c r="X62" s="95"/>
      <c r="Y62" s="95"/>
      <c r="Z62" s="95"/>
      <c r="AA62" s="95"/>
      <c r="AB62" s="95"/>
      <c r="AC62" s="95"/>
      <c r="AD62" s="95"/>
      <c r="AE62" s="95"/>
      <c r="AF62" s="95"/>
      <c r="AG62" s="95"/>
      <c r="AH62" s="95"/>
      <c r="AI62" s="95"/>
      <c r="AJ62" s="95"/>
      <c r="AK62" s="95"/>
      <c r="AL62" s="95"/>
      <c r="AM62" s="95"/>
      <c r="AN62" s="95"/>
      <c r="AO62" s="95"/>
      <c r="AP62" s="95"/>
      <c r="AQ62" s="95"/>
      <c r="AR62" s="95"/>
      <c r="AS62" s="95"/>
      <c r="AT62" s="95"/>
      <c r="AU62" s="95"/>
      <c r="AV62" s="95"/>
      <c r="AW62" s="95"/>
      <c r="AX62" s="95"/>
      <c r="AY62" s="95"/>
      <c r="AZ62" s="95"/>
      <c r="BA62" s="95"/>
      <c r="BB62" s="95"/>
      <c r="BC62" s="95"/>
      <c r="BD62" s="95"/>
      <c r="BE62" s="95"/>
      <c r="BF62" s="95"/>
      <c r="BG62" s="95"/>
      <c r="BH62" s="95"/>
      <c r="BI62" s="95"/>
      <c r="BJ62" s="95"/>
      <c r="BK62" s="95"/>
      <c r="BL62" s="95"/>
      <c r="BM62" s="95"/>
      <c r="BN62" s="95"/>
      <c r="BO62" s="95"/>
      <c r="BP62" s="95"/>
      <c r="BQ62" s="95"/>
      <c r="BR62" s="95"/>
      <c r="BS62" s="95"/>
      <c r="BT62" s="95"/>
      <c r="BU62" s="95"/>
      <c r="BV62" s="95"/>
      <c r="BW62" s="95"/>
      <c r="BX62" s="95"/>
      <c r="BY62" s="95"/>
      <c r="BZ62" s="95"/>
      <c r="CA62" s="95"/>
      <c r="CB62" s="95"/>
      <c r="CC62" s="95"/>
      <c r="CD62" s="95"/>
      <c r="CE62" s="95"/>
      <c r="CF62" s="95"/>
      <c r="CG62" s="95"/>
      <c r="CH62" s="95"/>
      <c r="CI62" s="95"/>
      <c r="CJ62" s="95"/>
      <c r="CK62" s="95"/>
      <c r="CL62" s="95"/>
      <c r="CM62" s="95"/>
      <c r="CN62" s="95"/>
      <c r="CO62" s="95"/>
      <c r="CP62" s="95"/>
      <c r="CQ62" s="95"/>
      <c r="CR62" s="95"/>
      <c r="CS62" s="95"/>
      <c r="CT62" s="95"/>
      <c r="CU62" s="95"/>
      <c r="CV62" s="95"/>
      <c r="CW62" s="95"/>
      <c r="CX62" s="95"/>
      <c r="CY62" s="95"/>
    </row>
    <row r="63" spans="1:103" ht="20" customHeight="1">
      <c r="B63" s="147"/>
      <c r="C63" s="148" t="str">
        <f>C37&amp;"$/yr"</f>
        <v>2024$/yr</v>
      </c>
      <c r="D63" s="119"/>
      <c r="E63" s="119"/>
      <c r="F63" s="119"/>
    </row>
    <row r="64" spans="1:103" ht="20" customHeight="1">
      <c r="B64" s="149" t="str">
        <f>Calculations!A1176</f>
        <v>Electricity</v>
      </c>
      <c r="C64" s="150">
        <f>Calculations!B1176</f>
        <v>2527249.0200846419</v>
      </c>
      <c r="D64" s="93"/>
      <c r="E64" s="103"/>
      <c r="J64" s="144"/>
    </row>
    <row r="65" spans="1:102" ht="20" customHeight="1">
      <c r="B65" s="149" t="str">
        <f>Calculations!A1177</f>
        <v>Fuel</v>
      </c>
      <c r="C65" s="150">
        <f>Calculations!B1177</f>
        <v>1267919.9846769085</v>
      </c>
      <c r="D65" s="93"/>
      <c r="E65" s="103"/>
      <c r="J65" s="144"/>
    </row>
    <row r="66" spans="1:102" ht="20" customHeight="1">
      <c r="B66" s="149" t="str">
        <f>Calculations!A1178</f>
        <v>Makeup Water</v>
      </c>
      <c r="C66" s="150">
        <f>Calculations!B1178</f>
        <v>39810.774826721747</v>
      </c>
      <c r="D66" s="93"/>
      <c r="E66" s="103"/>
      <c r="J66" s="144"/>
    </row>
    <row r="67" spans="1:102" ht="20" customHeight="1">
      <c r="B67" s="149" t="str">
        <f>Calculations!A1179</f>
        <v>Base rate</v>
      </c>
      <c r="C67" s="150">
        <f>Calculations!B1179</f>
        <v>0</v>
      </c>
      <c r="D67" s="93"/>
      <c r="E67" s="103"/>
      <c r="J67" s="144"/>
    </row>
    <row r="68" spans="1:102" ht="20" customHeight="1">
      <c r="B68" s="149" t="str">
        <f>Calculations!A1180</f>
        <v>Fuel surcharge</v>
      </c>
      <c r="C68" s="150">
        <f>Calculations!B1180</f>
        <v>0</v>
      </c>
      <c r="D68" s="93"/>
      <c r="E68" s="103"/>
      <c r="J68" s="144"/>
    </row>
    <row r="69" spans="1:102" ht="20" customHeight="1">
      <c r="B69" s="149" t="str">
        <f>Calculations!A1181</f>
        <v>Maintenance</v>
      </c>
      <c r="C69" s="150">
        <f>Calculations!B1181</f>
        <v>1807833.6318455786</v>
      </c>
      <c r="D69" s="93"/>
      <c r="E69" s="103"/>
      <c r="J69" s="144"/>
    </row>
    <row r="70" spans="1:102" ht="20" customHeight="1">
      <c r="B70" s="149" t="str">
        <f>Calculations!A1182</f>
        <v>Insurance, Permits, Fees</v>
      </c>
      <c r="C70" s="150">
        <f>Calculations!B1182</f>
        <v>678082.68497736449</v>
      </c>
      <c r="D70" s="93"/>
      <c r="E70" s="93"/>
      <c r="J70" s="144"/>
    </row>
    <row r="71" spans="1:102" ht="20" customHeight="1">
      <c r="B71" s="149" t="str">
        <f>Calculations!A1183</f>
        <v>Labor</v>
      </c>
      <c r="C71" s="150">
        <f>Calculations!B1183</f>
        <v>3511638.1304786974</v>
      </c>
      <c r="D71" s="93"/>
      <c r="E71" s="93"/>
      <c r="J71" s="144"/>
    </row>
    <row r="72" spans="1:102" ht="20" customHeight="1">
      <c r="B72" s="151" t="str">
        <f>Calculations!A1184</f>
        <v>End of life</v>
      </c>
      <c r="C72" s="152">
        <f>Calculations!B1184</f>
        <v>-3395364.1835168917</v>
      </c>
      <c r="D72" s="93"/>
      <c r="E72" s="93"/>
      <c r="J72" s="144"/>
    </row>
    <row r="73" spans="1:102" ht="20" customHeight="1">
      <c r="B73" s="104" t="s">
        <v>145</v>
      </c>
      <c r="C73" s="143">
        <f>SUM(C64:C72)</f>
        <v>6437170.0433730222</v>
      </c>
      <c r="D73" s="93"/>
      <c r="E73" s="93"/>
      <c r="J73" s="144"/>
    </row>
    <row r="74" spans="1:102" ht="20" customHeight="1">
      <c r="B74" s="104"/>
      <c r="C74" s="143"/>
      <c r="D74" s="93"/>
      <c r="E74" s="93"/>
      <c r="J74" s="144"/>
    </row>
    <row r="75" spans="1:102" s="88" customFormat="1" ht="20" customHeight="1">
      <c r="A75" s="90" t="s">
        <v>146</v>
      </c>
      <c r="B75" s="153"/>
      <c r="C75" s="154"/>
      <c r="D75" s="89"/>
      <c r="E75" s="89"/>
      <c r="F75" s="89"/>
      <c r="G75" s="89"/>
      <c r="H75" s="89"/>
      <c r="I75" s="89"/>
      <c r="J75" s="89"/>
      <c r="K75" s="89"/>
      <c r="L75" s="89"/>
      <c r="M75" s="89"/>
      <c r="N75" s="89"/>
      <c r="O75" s="89"/>
      <c r="P75" s="89"/>
      <c r="Q75" s="89"/>
      <c r="R75" s="89"/>
      <c r="S75" s="89"/>
      <c r="T75" s="89"/>
      <c r="U75" s="89"/>
      <c r="V75" s="89"/>
      <c r="W75" s="89"/>
    </row>
    <row r="76" spans="1:102" ht="20" customHeight="1">
      <c r="B76" s="155" t="s">
        <v>147</v>
      </c>
      <c r="C76" s="123">
        <f>$C$38</f>
        <v>2024</v>
      </c>
      <c r="D76" s="123">
        <f>C76+1</f>
        <v>2025</v>
      </c>
      <c r="E76" s="123">
        <f t="shared" ref="E76:T77" si="10">D76+1</f>
        <v>2026</v>
      </c>
      <c r="F76" s="123">
        <f t="shared" si="10"/>
        <v>2027</v>
      </c>
      <c r="G76" s="123">
        <f t="shared" si="10"/>
        <v>2028</v>
      </c>
      <c r="H76" s="123">
        <f t="shared" si="10"/>
        <v>2029</v>
      </c>
      <c r="I76" s="123">
        <f t="shared" si="10"/>
        <v>2030</v>
      </c>
      <c r="J76" s="123">
        <f t="shared" si="10"/>
        <v>2031</v>
      </c>
      <c r="K76" s="123">
        <f t="shared" si="10"/>
        <v>2032</v>
      </c>
      <c r="L76" s="123">
        <f t="shared" si="10"/>
        <v>2033</v>
      </c>
      <c r="M76" s="123">
        <f t="shared" si="10"/>
        <v>2034</v>
      </c>
      <c r="N76" s="123">
        <f t="shared" si="10"/>
        <v>2035</v>
      </c>
      <c r="O76" s="123">
        <f t="shared" si="10"/>
        <v>2036</v>
      </c>
      <c r="P76" s="123">
        <f t="shared" si="10"/>
        <v>2037</v>
      </c>
      <c r="Q76" s="123">
        <f t="shared" si="10"/>
        <v>2038</v>
      </c>
      <c r="R76" s="123">
        <f t="shared" si="10"/>
        <v>2039</v>
      </c>
      <c r="S76" s="123">
        <f t="shared" si="10"/>
        <v>2040</v>
      </c>
      <c r="T76" s="123">
        <f t="shared" si="10"/>
        <v>2041</v>
      </c>
      <c r="U76" s="123">
        <f t="shared" ref="U76:AJ77" si="11">T76+1</f>
        <v>2042</v>
      </c>
      <c r="V76" s="123">
        <f t="shared" si="11"/>
        <v>2043</v>
      </c>
      <c r="W76" s="123">
        <f t="shared" si="11"/>
        <v>2044</v>
      </c>
      <c r="X76" s="123">
        <f t="shared" si="11"/>
        <v>2045</v>
      </c>
      <c r="Y76" s="123">
        <f t="shared" si="11"/>
        <v>2046</v>
      </c>
      <c r="Z76" s="123">
        <f t="shared" si="11"/>
        <v>2047</v>
      </c>
      <c r="AA76" s="123">
        <f t="shared" si="11"/>
        <v>2048</v>
      </c>
      <c r="AB76" s="123">
        <f t="shared" si="11"/>
        <v>2049</v>
      </c>
      <c r="AC76" s="123">
        <f t="shared" si="11"/>
        <v>2050</v>
      </c>
      <c r="AD76" s="123">
        <f t="shared" si="11"/>
        <v>2051</v>
      </c>
      <c r="AE76" s="123">
        <f t="shared" si="11"/>
        <v>2052</v>
      </c>
      <c r="AF76" s="123">
        <f t="shared" si="11"/>
        <v>2053</v>
      </c>
      <c r="AG76" s="123">
        <f t="shared" si="11"/>
        <v>2054</v>
      </c>
      <c r="AH76" s="123">
        <f t="shared" si="11"/>
        <v>2055</v>
      </c>
      <c r="AI76" s="123">
        <f t="shared" si="11"/>
        <v>2056</v>
      </c>
      <c r="AJ76" s="123">
        <f t="shared" si="11"/>
        <v>2057</v>
      </c>
      <c r="AK76" s="123">
        <f t="shared" ref="AK76:AZ77" si="12">AJ76+1</f>
        <v>2058</v>
      </c>
      <c r="AL76" s="123">
        <f t="shared" si="12"/>
        <v>2059</v>
      </c>
      <c r="AM76" s="123">
        <f t="shared" si="12"/>
        <v>2060</v>
      </c>
      <c r="AN76" s="123">
        <f t="shared" si="12"/>
        <v>2061</v>
      </c>
      <c r="AO76" s="123">
        <f t="shared" si="12"/>
        <v>2062</v>
      </c>
      <c r="AP76" s="123">
        <f t="shared" si="12"/>
        <v>2063</v>
      </c>
      <c r="AQ76" s="123">
        <f t="shared" si="12"/>
        <v>2064</v>
      </c>
      <c r="AR76" s="123">
        <f t="shared" si="12"/>
        <v>2065</v>
      </c>
      <c r="AS76" s="123">
        <f t="shared" si="12"/>
        <v>2066</v>
      </c>
      <c r="AT76" s="123">
        <f t="shared" si="12"/>
        <v>2067</v>
      </c>
      <c r="AU76" s="123">
        <f t="shared" si="12"/>
        <v>2068</v>
      </c>
      <c r="AV76" s="123">
        <f t="shared" si="12"/>
        <v>2069</v>
      </c>
      <c r="AW76" s="123">
        <f t="shared" si="12"/>
        <v>2070</v>
      </c>
      <c r="AX76" s="123">
        <f t="shared" si="12"/>
        <v>2071</v>
      </c>
      <c r="AY76" s="123">
        <f t="shared" si="12"/>
        <v>2072</v>
      </c>
      <c r="AZ76" s="123">
        <f t="shared" si="12"/>
        <v>2073</v>
      </c>
      <c r="BA76" s="123">
        <f t="shared" ref="BA76:BP77" si="13">AZ76+1</f>
        <v>2074</v>
      </c>
      <c r="BB76" s="123">
        <f t="shared" si="13"/>
        <v>2075</v>
      </c>
      <c r="BC76" s="123">
        <f t="shared" si="13"/>
        <v>2076</v>
      </c>
      <c r="BD76" s="123">
        <f t="shared" si="13"/>
        <v>2077</v>
      </c>
      <c r="BE76" s="123">
        <f t="shared" si="13"/>
        <v>2078</v>
      </c>
      <c r="BF76" s="123">
        <f t="shared" si="13"/>
        <v>2079</v>
      </c>
      <c r="BG76" s="123">
        <f t="shared" si="13"/>
        <v>2080</v>
      </c>
      <c r="BH76" s="123">
        <f t="shared" si="13"/>
        <v>2081</v>
      </c>
      <c r="BI76" s="123">
        <f t="shared" si="13"/>
        <v>2082</v>
      </c>
      <c r="BJ76" s="123">
        <f t="shared" si="13"/>
        <v>2083</v>
      </c>
      <c r="BK76" s="123">
        <f t="shared" si="13"/>
        <v>2084</v>
      </c>
      <c r="BL76" s="123">
        <f t="shared" si="13"/>
        <v>2085</v>
      </c>
      <c r="BM76" s="123">
        <f t="shared" si="13"/>
        <v>2086</v>
      </c>
      <c r="BN76" s="123">
        <f t="shared" si="13"/>
        <v>2087</v>
      </c>
      <c r="BO76" s="123">
        <f t="shared" si="13"/>
        <v>2088</v>
      </c>
      <c r="BP76" s="123">
        <f t="shared" si="13"/>
        <v>2089</v>
      </c>
      <c r="BQ76" s="123">
        <f t="shared" ref="BQ76:CF77" si="14">BP76+1</f>
        <v>2090</v>
      </c>
      <c r="BR76" s="123">
        <f t="shared" si="14"/>
        <v>2091</v>
      </c>
      <c r="BS76" s="123">
        <f t="shared" si="14"/>
        <v>2092</v>
      </c>
      <c r="BT76" s="123">
        <f t="shared" si="14"/>
        <v>2093</v>
      </c>
      <c r="BU76" s="123">
        <f t="shared" si="14"/>
        <v>2094</v>
      </c>
      <c r="BV76" s="123">
        <f t="shared" si="14"/>
        <v>2095</v>
      </c>
      <c r="BW76" s="123">
        <f t="shared" si="14"/>
        <v>2096</v>
      </c>
      <c r="BX76" s="123">
        <f t="shared" si="14"/>
        <v>2097</v>
      </c>
      <c r="BY76" s="123">
        <f t="shared" si="14"/>
        <v>2098</v>
      </c>
      <c r="BZ76" s="123">
        <f t="shared" si="14"/>
        <v>2099</v>
      </c>
      <c r="CA76" s="123">
        <f t="shared" si="14"/>
        <v>2100</v>
      </c>
      <c r="CB76" s="123">
        <f t="shared" si="14"/>
        <v>2101</v>
      </c>
      <c r="CC76" s="123">
        <f t="shared" si="14"/>
        <v>2102</v>
      </c>
      <c r="CD76" s="123">
        <f t="shared" si="14"/>
        <v>2103</v>
      </c>
      <c r="CE76" s="123">
        <f t="shared" si="14"/>
        <v>2104</v>
      </c>
      <c r="CF76" s="123">
        <f t="shared" si="14"/>
        <v>2105</v>
      </c>
      <c r="CG76" s="123">
        <f t="shared" ref="CG76:CV77" si="15">CF76+1</f>
        <v>2106</v>
      </c>
      <c r="CH76" s="123">
        <f t="shared" si="15"/>
        <v>2107</v>
      </c>
      <c r="CI76" s="123">
        <f t="shared" si="15"/>
        <v>2108</v>
      </c>
      <c r="CJ76" s="123">
        <f t="shared" si="15"/>
        <v>2109</v>
      </c>
      <c r="CK76" s="123">
        <f t="shared" si="15"/>
        <v>2110</v>
      </c>
      <c r="CL76" s="123">
        <f t="shared" si="15"/>
        <v>2111</v>
      </c>
      <c r="CM76" s="123">
        <f t="shared" si="15"/>
        <v>2112</v>
      </c>
      <c r="CN76" s="123">
        <f t="shared" si="15"/>
        <v>2113</v>
      </c>
      <c r="CO76" s="123">
        <f t="shared" si="15"/>
        <v>2114</v>
      </c>
      <c r="CP76" s="123">
        <f t="shared" si="15"/>
        <v>2115</v>
      </c>
      <c r="CQ76" s="123">
        <f t="shared" si="15"/>
        <v>2116</v>
      </c>
      <c r="CR76" s="123">
        <f t="shared" si="15"/>
        <v>2117</v>
      </c>
      <c r="CS76" s="123">
        <f t="shared" si="15"/>
        <v>2118</v>
      </c>
      <c r="CT76" s="123">
        <f t="shared" si="15"/>
        <v>2119</v>
      </c>
      <c r="CU76" s="123">
        <f t="shared" si="15"/>
        <v>2120</v>
      </c>
      <c r="CV76" s="123">
        <f t="shared" si="15"/>
        <v>2121</v>
      </c>
      <c r="CW76" s="123">
        <f>CV76+1</f>
        <v>2122</v>
      </c>
      <c r="CX76" s="156">
        <f>CW76+1</f>
        <v>2123</v>
      </c>
    </row>
    <row r="77" spans="1:102" ht="20" customHeight="1">
      <c r="B77" s="157" t="s">
        <v>148</v>
      </c>
      <c r="C77" s="158">
        <v>1</v>
      </c>
      <c r="D77" s="158">
        <f>C77+1</f>
        <v>2</v>
      </c>
      <c r="E77" s="158">
        <f t="shared" si="10"/>
        <v>3</v>
      </c>
      <c r="F77" s="158">
        <f t="shared" si="10"/>
        <v>4</v>
      </c>
      <c r="G77" s="158">
        <f t="shared" si="10"/>
        <v>5</v>
      </c>
      <c r="H77" s="158">
        <f t="shared" si="10"/>
        <v>6</v>
      </c>
      <c r="I77" s="158">
        <f t="shared" si="10"/>
        <v>7</v>
      </c>
      <c r="J77" s="158">
        <f t="shared" si="10"/>
        <v>8</v>
      </c>
      <c r="K77" s="158">
        <f t="shared" si="10"/>
        <v>9</v>
      </c>
      <c r="L77" s="158">
        <f t="shared" si="10"/>
        <v>10</v>
      </c>
      <c r="M77" s="158">
        <f t="shared" si="10"/>
        <v>11</v>
      </c>
      <c r="N77" s="158">
        <f t="shared" si="10"/>
        <v>12</v>
      </c>
      <c r="O77" s="158">
        <f t="shared" si="10"/>
        <v>13</v>
      </c>
      <c r="P77" s="158">
        <f t="shared" si="10"/>
        <v>14</v>
      </c>
      <c r="Q77" s="158">
        <f t="shared" si="10"/>
        <v>15</v>
      </c>
      <c r="R77" s="158">
        <f t="shared" si="10"/>
        <v>16</v>
      </c>
      <c r="S77" s="158">
        <f t="shared" si="10"/>
        <v>17</v>
      </c>
      <c r="T77" s="158">
        <f t="shared" si="10"/>
        <v>18</v>
      </c>
      <c r="U77" s="158">
        <f t="shared" si="11"/>
        <v>19</v>
      </c>
      <c r="V77" s="158">
        <f t="shared" si="11"/>
        <v>20</v>
      </c>
      <c r="W77" s="158">
        <f t="shared" si="11"/>
        <v>21</v>
      </c>
      <c r="X77" s="158">
        <f t="shared" si="11"/>
        <v>22</v>
      </c>
      <c r="Y77" s="158">
        <f t="shared" si="11"/>
        <v>23</v>
      </c>
      <c r="Z77" s="158">
        <f t="shared" si="11"/>
        <v>24</v>
      </c>
      <c r="AA77" s="158">
        <f t="shared" si="11"/>
        <v>25</v>
      </c>
      <c r="AB77" s="158">
        <f t="shared" si="11"/>
        <v>26</v>
      </c>
      <c r="AC77" s="158">
        <f t="shared" si="11"/>
        <v>27</v>
      </c>
      <c r="AD77" s="158">
        <f t="shared" si="11"/>
        <v>28</v>
      </c>
      <c r="AE77" s="158">
        <f t="shared" si="11"/>
        <v>29</v>
      </c>
      <c r="AF77" s="158">
        <f t="shared" si="11"/>
        <v>30</v>
      </c>
      <c r="AG77" s="158">
        <f t="shared" si="11"/>
        <v>31</v>
      </c>
      <c r="AH77" s="158">
        <f t="shared" si="11"/>
        <v>32</v>
      </c>
      <c r="AI77" s="158">
        <f t="shared" si="11"/>
        <v>33</v>
      </c>
      <c r="AJ77" s="158">
        <f t="shared" si="11"/>
        <v>34</v>
      </c>
      <c r="AK77" s="158">
        <f t="shared" si="12"/>
        <v>35</v>
      </c>
      <c r="AL77" s="158">
        <f t="shared" si="12"/>
        <v>36</v>
      </c>
      <c r="AM77" s="158">
        <f t="shared" si="12"/>
        <v>37</v>
      </c>
      <c r="AN77" s="158">
        <f t="shared" si="12"/>
        <v>38</v>
      </c>
      <c r="AO77" s="158">
        <f t="shared" si="12"/>
        <v>39</v>
      </c>
      <c r="AP77" s="158">
        <f t="shared" si="12"/>
        <v>40</v>
      </c>
      <c r="AQ77" s="158">
        <f t="shared" si="12"/>
        <v>41</v>
      </c>
      <c r="AR77" s="158">
        <f t="shared" si="12"/>
        <v>42</v>
      </c>
      <c r="AS77" s="158">
        <f t="shared" si="12"/>
        <v>43</v>
      </c>
      <c r="AT77" s="158">
        <f t="shared" si="12"/>
        <v>44</v>
      </c>
      <c r="AU77" s="158">
        <f t="shared" si="12"/>
        <v>45</v>
      </c>
      <c r="AV77" s="158">
        <f t="shared" si="12"/>
        <v>46</v>
      </c>
      <c r="AW77" s="158">
        <f t="shared" si="12"/>
        <v>47</v>
      </c>
      <c r="AX77" s="158">
        <f t="shared" si="12"/>
        <v>48</v>
      </c>
      <c r="AY77" s="158">
        <f t="shared" si="12"/>
        <v>49</v>
      </c>
      <c r="AZ77" s="158">
        <f t="shared" si="12"/>
        <v>50</v>
      </c>
      <c r="BA77" s="158">
        <f t="shared" si="13"/>
        <v>51</v>
      </c>
      <c r="BB77" s="158">
        <f t="shared" si="13"/>
        <v>52</v>
      </c>
      <c r="BC77" s="158">
        <f t="shared" si="13"/>
        <v>53</v>
      </c>
      <c r="BD77" s="158">
        <f t="shared" si="13"/>
        <v>54</v>
      </c>
      <c r="BE77" s="158">
        <f t="shared" si="13"/>
        <v>55</v>
      </c>
      <c r="BF77" s="158">
        <f t="shared" si="13"/>
        <v>56</v>
      </c>
      <c r="BG77" s="158">
        <f t="shared" si="13"/>
        <v>57</v>
      </c>
      <c r="BH77" s="158">
        <f t="shared" si="13"/>
        <v>58</v>
      </c>
      <c r="BI77" s="158">
        <f t="shared" si="13"/>
        <v>59</v>
      </c>
      <c r="BJ77" s="158">
        <f t="shared" si="13"/>
        <v>60</v>
      </c>
      <c r="BK77" s="158">
        <f t="shared" si="13"/>
        <v>61</v>
      </c>
      <c r="BL77" s="158">
        <f t="shared" si="13"/>
        <v>62</v>
      </c>
      <c r="BM77" s="158">
        <f t="shared" si="13"/>
        <v>63</v>
      </c>
      <c r="BN77" s="158">
        <f t="shared" si="13"/>
        <v>64</v>
      </c>
      <c r="BO77" s="158">
        <f t="shared" si="13"/>
        <v>65</v>
      </c>
      <c r="BP77" s="158">
        <f t="shared" si="13"/>
        <v>66</v>
      </c>
      <c r="BQ77" s="158">
        <f t="shared" si="14"/>
        <v>67</v>
      </c>
      <c r="BR77" s="158">
        <f t="shared" si="14"/>
        <v>68</v>
      </c>
      <c r="BS77" s="158">
        <f t="shared" si="14"/>
        <v>69</v>
      </c>
      <c r="BT77" s="158">
        <f t="shared" si="14"/>
        <v>70</v>
      </c>
      <c r="BU77" s="158">
        <f t="shared" si="14"/>
        <v>71</v>
      </c>
      <c r="BV77" s="158">
        <f t="shared" si="14"/>
        <v>72</v>
      </c>
      <c r="BW77" s="158">
        <f t="shared" si="14"/>
        <v>73</v>
      </c>
      <c r="BX77" s="158">
        <f t="shared" si="14"/>
        <v>74</v>
      </c>
      <c r="BY77" s="158">
        <f t="shared" si="14"/>
        <v>75</v>
      </c>
      <c r="BZ77" s="158">
        <f t="shared" si="14"/>
        <v>76</v>
      </c>
      <c r="CA77" s="158">
        <f t="shared" si="14"/>
        <v>77</v>
      </c>
      <c r="CB77" s="158">
        <f t="shared" si="14"/>
        <v>78</v>
      </c>
      <c r="CC77" s="158">
        <f t="shared" si="14"/>
        <v>79</v>
      </c>
      <c r="CD77" s="158">
        <f t="shared" si="14"/>
        <v>80</v>
      </c>
      <c r="CE77" s="158">
        <f t="shared" si="14"/>
        <v>81</v>
      </c>
      <c r="CF77" s="158">
        <f t="shared" si="14"/>
        <v>82</v>
      </c>
      <c r="CG77" s="158">
        <f t="shared" si="15"/>
        <v>83</v>
      </c>
      <c r="CH77" s="158">
        <f t="shared" si="15"/>
        <v>84</v>
      </c>
      <c r="CI77" s="158">
        <f t="shared" si="15"/>
        <v>85</v>
      </c>
      <c r="CJ77" s="158">
        <f t="shared" si="15"/>
        <v>86</v>
      </c>
      <c r="CK77" s="158">
        <f t="shared" si="15"/>
        <v>87</v>
      </c>
      <c r="CL77" s="158">
        <f t="shared" si="15"/>
        <v>88</v>
      </c>
      <c r="CM77" s="158">
        <f t="shared" si="15"/>
        <v>89</v>
      </c>
      <c r="CN77" s="158">
        <f t="shared" si="15"/>
        <v>90</v>
      </c>
      <c r="CO77" s="158">
        <f t="shared" si="15"/>
        <v>91</v>
      </c>
      <c r="CP77" s="158">
        <f t="shared" si="15"/>
        <v>92</v>
      </c>
      <c r="CQ77" s="158">
        <f t="shared" si="15"/>
        <v>93</v>
      </c>
      <c r="CR77" s="158">
        <f t="shared" si="15"/>
        <v>94</v>
      </c>
      <c r="CS77" s="158">
        <f t="shared" si="15"/>
        <v>95</v>
      </c>
      <c r="CT77" s="158">
        <f t="shared" si="15"/>
        <v>96</v>
      </c>
      <c r="CU77" s="158">
        <f t="shared" si="15"/>
        <v>97</v>
      </c>
      <c r="CV77" s="158">
        <f t="shared" si="15"/>
        <v>98</v>
      </c>
      <c r="CW77" s="158">
        <f>CV77+1</f>
        <v>99</v>
      </c>
      <c r="CX77" s="159">
        <f>CW77+1</f>
        <v>100</v>
      </c>
    </row>
    <row r="78" spans="1:102" ht="20" customHeight="1"/>
    <row r="79" spans="1:102" ht="20" customHeight="1">
      <c r="A79" s="160"/>
      <c r="B79" s="95" t="str">
        <f>"Escalation schedule from base year of "&amp;C37</f>
        <v>Escalation schedule from base year of 2024</v>
      </c>
      <c r="C79" s="161">
        <v>1</v>
      </c>
      <c r="D79" s="161">
        <f>C79*(1+Calculations!$B$127)</f>
        <v>1.0229999999999999</v>
      </c>
      <c r="E79" s="161">
        <f>D79*(1+Calculations!$B$127)</f>
        <v>1.0465289999999998</v>
      </c>
      <c r="F79" s="161">
        <f>E79*(1+Calculations!$B$127)</f>
        <v>1.0705991669999997</v>
      </c>
      <c r="G79" s="161">
        <f>F79*(1+Calculations!$B$127)</f>
        <v>1.0952229478409996</v>
      </c>
      <c r="H79" s="161">
        <f>G79*(1+Calculations!$B$127)</f>
        <v>1.1204130756413424</v>
      </c>
      <c r="I79" s="161">
        <f>H79*(1+Calculations!$B$127)</f>
        <v>1.1461825763810931</v>
      </c>
      <c r="J79" s="161">
        <f>I79*(1+Calculations!$B$127)</f>
        <v>1.1725447756378582</v>
      </c>
      <c r="K79" s="161">
        <f>J79*(1+Calculations!$B$127)</f>
        <v>1.1995133054775289</v>
      </c>
      <c r="L79" s="161">
        <f>K79*(1+Calculations!$B$127)</f>
        <v>1.2271021115035119</v>
      </c>
      <c r="M79" s="161">
        <f>L79*(1+Calculations!$B$127)</f>
        <v>1.2553254600680925</v>
      </c>
      <c r="N79" s="161">
        <f>M79*(1+Calculations!$B$127)</f>
        <v>1.2841979456496586</v>
      </c>
      <c r="O79" s="161">
        <f>N79*(1+Calculations!$B$127)</f>
        <v>1.3137344983996007</v>
      </c>
      <c r="P79" s="161">
        <f>O79*(1+Calculations!$B$127)</f>
        <v>1.3439503918627913</v>
      </c>
      <c r="Q79" s="161">
        <f>P79*(1+Calculations!$B$127)</f>
        <v>1.3748612508756355</v>
      </c>
      <c r="R79" s="161">
        <f>Q79*(1+Calculations!$B$127)</f>
        <v>1.4064830596457749</v>
      </c>
      <c r="S79" s="161">
        <f>R79*(1+Calculations!$B$127)</f>
        <v>1.4388321700176276</v>
      </c>
      <c r="T79" s="161">
        <f>S79*(1+Calculations!$B$127)</f>
        <v>1.4719253099280329</v>
      </c>
      <c r="U79" s="161">
        <f>T79*(1+Calculations!$B$127)</f>
        <v>1.5057795920563775</v>
      </c>
      <c r="V79" s="161">
        <f>U79*(1+Calculations!$B$127)</f>
        <v>1.540412522673674</v>
      </c>
      <c r="W79" s="161">
        <f>V79*(1+Calculations!$B$127)</f>
        <v>1.5758420106951683</v>
      </c>
      <c r="X79" s="161">
        <f>W79*(1+Calculations!$B$127)</f>
        <v>1.6120863769411571</v>
      </c>
      <c r="Y79" s="161">
        <f>X79*(1+Calculations!$B$127)</f>
        <v>1.6491643636108035</v>
      </c>
      <c r="Z79" s="161">
        <f>Y79*(1+Calculations!$B$127)</f>
        <v>1.687095143973852</v>
      </c>
      <c r="AA79" s="161">
        <f>Z79*(1+Calculations!$B$127)</f>
        <v>1.7258983322852504</v>
      </c>
      <c r="AB79" s="161">
        <f>AA79*(1+Calculations!$B$127)</f>
        <v>1.7655939939278109</v>
      </c>
      <c r="AC79" s="161">
        <f>AB79*(1+Calculations!$B$127)</f>
        <v>1.8062026557881503</v>
      </c>
      <c r="AD79" s="161">
        <f>AC79*(1+Calculations!$B$127)</f>
        <v>1.8477453168712776</v>
      </c>
      <c r="AE79" s="161">
        <f>AD79*(1+Calculations!$B$127)</f>
        <v>1.8902434591593169</v>
      </c>
      <c r="AF79" s="161">
        <f>AE79*(1+Calculations!$B$127)</f>
        <v>1.9337190587199811</v>
      </c>
      <c r="AG79" s="161">
        <f>AF79*(1+Calculations!$B$127)</f>
        <v>1.9781945970705404</v>
      </c>
      <c r="AH79" s="161">
        <f>AG79*(1+Calculations!$B$127)</f>
        <v>2.0236930728031628</v>
      </c>
      <c r="AI79" s="161">
        <f>AH79*(1+Calculations!$B$127)</f>
        <v>2.0702380134776353</v>
      </c>
      <c r="AJ79" s="161">
        <f>AI79*(1+Calculations!$B$127)</f>
        <v>2.1178534877876207</v>
      </c>
      <c r="AK79" s="161">
        <f>AJ79*(1+Calculations!$B$127)</f>
        <v>2.1665641180067357</v>
      </c>
      <c r="AL79" s="161">
        <f>AK79*(1+Calculations!$B$127)</f>
        <v>2.2163950927208904</v>
      </c>
      <c r="AM79" s="161">
        <f>AL79*(1+Calculations!$B$127)</f>
        <v>2.2673721798534707</v>
      </c>
      <c r="AN79" s="161">
        <f>AM79*(1+Calculations!$B$127)</f>
        <v>2.3195217399901003</v>
      </c>
      <c r="AO79" s="161">
        <f>AN79*(1+Calculations!$B$127)</f>
        <v>2.3728707400098723</v>
      </c>
      <c r="AP79" s="161">
        <f>AO79*(1+Calculations!$B$127)</f>
        <v>2.4274467670300992</v>
      </c>
      <c r="AQ79" s="161">
        <f>AP79*(1+Calculations!$B$127)</f>
        <v>2.4832780426717913</v>
      </c>
      <c r="AR79" s="161">
        <f>AQ79*(1+Calculations!$B$127)</f>
        <v>2.5403934376532424</v>
      </c>
      <c r="AS79" s="161">
        <f>AR79*(1+Calculations!$B$127)</f>
        <v>2.5988224867192669</v>
      </c>
      <c r="AT79" s="161">
        <f>AS79*(1+Calculations!$B$127)</f>
        <v>2.6585954039138096</v>
      </c>
      <c r="AU79" s="161">
        <f>AT79*(1+Calculations!$B$127)</f>
        <v>2.7197430982038271</v>
      </c>
      <c r="AV79" s="161">
        <f>AU79*(1+Calculations!$B$127)</f>
        <v>2.7822971894625148</v>
      </c>
      <c r="AW79" s="161">
        <f>AV79*(1+Calculations!$B$127)</f>
        <v>2.8462900248201524</v>
      </c>
      <c r="AX79" s="161">
        <f>AW79*(1+Calculations!$B$127)</f>
        <v>2.9117546953910156</v>
      </c>
      <c r="AY79" s="161">
        <f>AX79*(1+Calculations!$B$127)</f>
        <v>2.9787250533850087</v>
      </c>
      <c r="AZ79" s="161">
        <f>AY79*(1+Calculations!$B$127)</f>
        <v>3.0472357296128636</v>
      </c>
      <c r="BA79" s="161">
        <f>AZ79*(1+Calculations!$B$127)</f>
        <v>3.1173221513939593</v>
      </c>
      <c r="BB79" s="161">
        <f>BA79*(1+Calculations!$B$127)</f>
        <v>3.18902056087602</v>
      </c>
      <c r="BC79" s="161">
        <f>BB79*(1+Calculations!$B$127)</f>
        <v>3.262368033776168</v>
      </c>
      <c r="BD79" s="161">
        <f>BC79*(1+Calculations!$B$127)</f>
        <v>3.3374024985530197</v>
      </c>
      <c r="BE79" s="161">
        <f>BD79*(1+Calculations!$B$127)</f>
        <v>3.414162756019739</v>
      </c>
      <c r="BF79" s="161">
        <f>BE79*(1+Calculations!$B$127)</f>
        <v>3.4926884994081928</v>
      </c>
      <c r="BG79" s="161">
        <f>BF79*(1+Calculations!$B$127)</f>
        <v>3.573020334894581</v>
      </c>
      <c r="BH79" s="161">
        <f>BG79*(1+Calculations!$B$127)</f>
        <v>3.6551998025971559</v>
      </c>
      <c r="BI79" s="161">
        <f>BH79*(1+Calculations!$B$127)</f>
        <v>3.7392693980568903</v>
      </c>
      <c r="BJ79" s="161">
        <f>BI79*(1+Calculations!$B$127)</f>
        <v>3.8252725942121986</v>
      </c>
      <c r="BK79" s="161">
        <f>BJ79*(1+Calculations!$B$127)</f>
        <v>3.9132538638790786</v>
      </c>
      <c r="BL79" s="161">
        <f>BK79*(1+Calculations!$B$127)</f>
        <v>4.0032587027482966</v>
      </c>
      <c r="BM79" s="161">
        <f>BL79*(1+Calculations!$B$127)</f>
        <v>4.0953336529115072</v>
      </c>
      <c r="BN79" s="161">
        <f>BM79*(1+Calculations!$B$127)</f>
        <v>4.1895263269284717</v>
      </c>
      <c r="BO79" s="161">
        <f>BN79*(1+Calculations!$B$127)</f>
        <v>4.2858854324478264</v>
      </c>
      <c r="BP79" s="161">
        <f>BO79*(1+Calculations!$B$127)</f>
        <v>4.3844607973941256</v>
      </c>
      <c r="BQ79" s="161">
        <f>BP79*(1+Calculations!$B$127)</f>
        <v>4.4853033957341903</v>
      </c>
      <c r="BR79" s="161">
        <f>BQ79*(1+Calculations!$B$127)</f>
        <v>4.5884653738360761</v>
      </c>
      <c r="BS79" s="161">
        <f>BR79*(1+Calculations!$B$127)</f>
        <v>4.6940000774343051</v>
      </c>
      <c r="BT79" s="161">
        <f>BS79*(1+Calculations!$B$127)</f>
        <v>4.8019620792152935</v>
      </c>
      <c r="BU79" s="161">
        <f>BT79*(1+Calculations!$B$127)</f>
        <v>4.9124072070372451</v>
      </c>
      <c r="BV79" s="161">
        <f>BU79*(1+Calculations!$B$127)</f>
        <v>5.0253925727991016</v>
      </c>
      <c r="BW79" s="161">
        <f>BV79*(1+Calculations!$B$127)</f>
        <v>5.1409766019734802</v>
      </c>
      <c r="BX79" s="161">
        <f>BW79*(1+Calculations!$B$127)</f>
        <v>5.2592190638188701</v>
      </c>
      <c r="BY79" s="161">
        <f>BX79*(1+Calculations!$B$127)</f>
        <v>5.3801811022867039</v>
      </c>
      <c r="BZ79" s="161">
        <f>BY79*(1+Calculations!$B$127)</f>
        <v>5.503925267639298</v>
      </c>
      <c r="CA79" s="161">
        <f>BZ79*(1+Calculations!$B$127)</f>
        <v>5.6305155487950014</v>
      </c>
      <c r="CB79" s="161">
        <f>CA79*(1+Calculations!$B$127)</f>
        <v>5.760017406417286</v>
      </c>
      <c r="CC79" s="161">
        <f>CB79*(1+Calculations!$B$127)</f>
        <v>5.892497806764883</v>
      </c>
      <c r="CD79" s="161">
        <f>CC79*(1+Calculations!$B$127)</f>
        <v>6.0280252563204746</v>
      </c>
      <c r="CE79" s="161">
        <f>CD79*(1+Calculations!$B$127)</f>
        <v>6.1666698372158448</v>
      </c>
      <c r="CF79" s="161">
        <f>CE79*(1+Calculations!$B$127)</f>
        <v>6.3085032434718089</v>
      </c>
      <c r="CG79" s="161">
        <f>CF79*(1+Calculations!$B$127)</f>
        <v>6.4535988180716597</v>
      </c>
      <c r="CH79" s="161">
        <f>CG79*(1+Calculations!$B$127)</f>
        <v>6.6020315908873073</v>
      </c>
      <c r="CI79" s="161">
        <f>CH79*(1+Calculations!$B$127)</f>
        <v>6.7538783174777146</v>
      </c>
      <c r="CJ79" s="161">
        <f>CI79*(1+Calculations!$B$127)</f>
        <v>6.9092175187797018</v>
      </c>
      <c r="CK79" s="161">
        <f>CJ79*(1+Calculations!$B$127)</f>
        <v>7.0681295217116347</v>
      </c>
      <c r="CL79" s="161">
        <f>CK79*(1+Calculations!$B$127)</f>
        <v>7.2306965007110016</v>
      </c>
      <c r="CM79" s="161">
        <f>CL79*(1+Calculations!$B$127)</f>
        <v>7.3970025202273542</v>
      </c>
      <c r="CN79" s="161">
        <f>CM79*(1+Calculations!$B$127)</f>
        <v>7.5671335781925828</v>
      </c>
      <c r="CO79" s="161">
        <f>CN79*(1+Calculations!$B$127)</f>
        <v>7.7411776504910117</v>
      </c>
      <c r="CP79" s="161">
        <f>CO79*(1+Calculations!$B$127)</f>
        <v>7.9192247364523043</v>
      </c>
      <c r="CQ79" s="161">
        <f>CP79*(1+Calculations!$B$127)</f>
        <v>8.1013669053907069</v>
      </c>
      <c r="CR79" s="161">
        <f>CQ79*(1+Calculations!$B$127)</f>
        <v>8.287698344214693</v>
      </c>
      <c r="CS79" s="161">
        <f>CR79*(1+Calculations!$B$127)</f>
        <v>8.4783154061316299</v>
      </c>
      <c r="CT79" s="161">
        <f>CS79*(1+Calculations!$B$127)</f>
        <v>8.6733166604726559</v>
      </c>
      <c r="CU79" s="161">
        <f>CT79*(1+Calculations!$B$127)</f>
        <v>8.8728029436635261</v>
      </c>
      <c r="CV79" s="161">
        <f>CU79*(1+Calculations!$B$127)</f>
        <v>9.0768774113677857</v>
      </c>
      <c r="CW79" s="161">
        <f>CV79*(1+Calculations!$B$127)</f>
        <v>9.285645591829244</v>
      </c>
      <c r="CX79" s="161">
        <f>CW79*(1+Calculations!$B$127)</f>
        <v>9.4992154404413149</v>
      </c>
    </row>
    <row r="80" spans="1:102" ht="20" customHeight="1">
      <c r="A80" s="160"/>
      <c r="B80" s="95" t="s">
        <v>149</v>
      </c>
      <c r="C80" s="162">
        <f>(1+$C$35)^(C77-1)</f>
        <v>1</v>
      </c>
      <c r="D80" s="162">
        <f>(1+$C$35)^(D77-1)</f>
        <v>1.0643343459375001</v>
      </c>
      <c r="E80" s="162">
        <f>(1+$C$35)^(E77-1)</f>
        <v>1.132807599942206</v>
      </c>
      <c r="F80" s="162">
        <f t="shared" ref="F80:BO80" si="16">(1+$C$35)^(F77-1)</f>
        <v>1.2056860359575172</v>
      </c>
      <c r="G80" s="162">
        <f t="shared" si="16"/>
        <v>1.2832530584868211</v>
      </c>
      <c r="H80" s="162">
        <f t="shared" si="16"/>
        <v>1.3658103046768673</v>
      </c>
      <c r="I80" s="162">
        <f>(1+$C$35)^(I77-1)</f>
        <v>1.4536788173029511</v>
      </c>
      <c r="J80" s="162">
        <f t="shared" si="16"/>
        <v>1.5472002932173354</v>
      </c>
      <c r="K80" s="162">
        <f t="shared" si="16"/>
        <v>1.6467384121157809</v>
      </c>
      <c r="L80" s="162">
        <f t="shared" si="16"/>
        <v>1.752680250789407</v>
      </c>
      <c r="M80" s="162">
        <f t="shared" si="16"/>
        <v>1.8654377883615172</v>
      </c>
      <c r="N80" s="162">
        <f t="shared" si="16"/>
        <v>1.9854495083628523</v>
      </c>
      <c r="O80" s="162">
        <f t="shared" si="16"/>
        <v>2.1131821038753071</v>
      </c>
      <c r="P80" s="162">
        <f t="shared" si="16"/>
        <v>2.2491322923749553</v>
      </c>
      <c r="Q80" s="162">
        <f t="shared" si="16"/>
        <v>2.3938287473318081</v>
      </c>
      <c r="R80" s="162">
        <f t="shared" si="16"/>
        <v>2.5478341540777856</v>
      </c>
      <c r="S80" s="162">
        <f t="shared" si="16"/>
        <v>2.7117473979376032</v>
      </c>
      <c r="T80" s="162">
        <f t="shared" si="16"/>
        <v>2.8862058931316366</v>
      </c>
      <c r="U80" s="162">
        <f t="shared" si="16"/>
        <v>3.0718880615072188</v>
      </c>
      <c r="V80" s="162">
        <f t="shared" si="16"/>
        <v>3.2695159707375008</v>
      </c>
      <c r="W80" s="162">
        <f t="shared" si="16"/>
        <v>3.479858142247108</v>
      </c>
      <c r="X80" s="162">
        <f t="shared" si="16"/>
        <v>3.7037325397838599</v>
      </c>
      <c r="Y80" s="162">
        <f t="shared" si="16"/>
        <v>3.9420097502582903</v>
      </c>
      <c r="Z80" s="162">
        <f t="shared" si="16"/>
        <v>4.1956163692204065</v>
      </c>
      <c r="AA80" s="162">
        <f t="shared" si="16"/>
        <v>4.4655386041388692</v>
      </c>
      <c r="AB80" s="162">
        <f t="shared" si="16"/>
        <v>4.7528261094948006</v>
      </c>
      <c r="AC80" s="162">
        <f t="shared" si="16"/>
        <v>5.0585960686038218</v>
      </c>
      <c r="AD80" s="162">
        <f t="shared" si="16"/>
        <v>5.3840375380394585</v>
      </c>
      <c r="AE80" s="162">
        <f t="shared" si="16"/>
        <v>5.7304160715521739</v>
      </c>
      <c r="AF80" s="162">
        <f t="shared" si="16"/>
        <v>6.0990786414652218</v>
      </c>
      <c r="AG80" s="162">
        <f t="shared" si="16"/>
        <v>6.4914588766852628</v>
      </c>
      <c r="AH80" s="162">
        <f t="shared" si="16"/>
        <v>6.9090826376969892</v>
      </c>
      <c r="AI80" s="162">
        <f t="shared" si="16"/>
        <v>7.353573950221362</v>
      </c>
      <c r="AJ80" s="162">
        <f t="shared" si="16"/>
        <v>7.8266613206118922</v>
      </c>
      <c r="AK80" s="162">
        <f t="shared" si="16"/>
        <v>8.330184457547789</v>
      </c>
      <c r="AL80" s="162">
        <f t="shared" si="16"/>
        <v>8.8661014261628548</v>
      </c>
      <c r="AM80" s="162">
        <f t="shared" si="16"/>
        <v>9.4364962624305786</v>
      </c>
      <c r="AN80" s="162">
        <f t="shared" si="16"/>
        <v>10.043587077415713</v>
      </c>
      <c r="AO80" s="162">
        <f t="shared" si="16"/>
        <v>10.689734682907579</v>
      </c>
      <c r="AP80" s="162">
        <f t="shared" si="16"/>
        <v>11.377451771977851</v>
      </c>
      <c r="AQ80" s="162">
        <f t="shared" si="16"/>
        <v>12.109412690163495</v>
      </c>
      <c r="AR80" s="162">
        <f t="shared" si="16"/>
        <v>12.888463835272427</v>
      </c>
      <c r="AS80" s="162">
        <f t="shared" si="16"/>
        <v>13.717634726253802</v>
      </c>
      <c r="AT80" s="162">
        <f t="shared" si="16"/>
        <v>14.60014978417688</v>
      </c>
      <c r="AU80" s="162">
        <f t="shared" si="16"/>
        <v>15.539440871131431</v>
      </c>
      <c r="AV80" s="162">
        <f t="shared" si="16"/>
        <v>16.539160635810127</v>
      </c>
      <c r="AW80" s="162">
        <f t="shared" si="16"/>
        <v>17.603196717670219</v>
      </c>
      <c r="AX80" s="162">
        <f t="shared" si="16"/>
        <v>18.735686864910683</v>
      </c>
      <c r="AY80" s="162">
        <f t="shared" si="16"/>
        <v>19.941035025054521</v>
      </c>
      <c r="AZ80" s="162">
        <f t="shared" si="16"/>
        <v>21.223928470708184</v>
      </c>
      <c r="BA80" s="162">
        <f t="shared" si="16"/>
        <v>22.58935602709548</v>
      </c>
      <c r="BB80" s="162">
        <f t="shared" si="16"/>
        <v>24.042627472247993</v>
      </c>
      <c r="BC80" s="162">
        <f t="shared" si="16"/>
        <v>25.589394185294037</v>
      </c>
      <c r="BD80" s="162">
        <f t="shared" si="16"/>
        <v>27.235671123141795</v>
      </c>
      <c r="BE80" s="162">
        <f t="shared" si="16"/>
        <v>28.987860211017981</v>
      </c>
      <c r="BF80" s="162">
        <f t="shared" si="16"/>
        <v>30.852775237821511</v>
      </c>
      <c r="BG80" s="162">
        <f t="shared" si="16"/>
        <v>32.837668353103453</v>
      </c>
      <c r="BH80" s="162">
        <f t="shared" si="16"/>
        <v>34.950258268712908</v>
      </c>
      <c r="BI80" s="162">
        <f t="shared" si="16"/>
        <v>37.198760274777257</v>
      </c>
      <c r="BJ80" s="162">
        <f t="shared" si="16"/>
        <v>39.591918186740919</v>
      </c>
      <c r="BK80" s="162">
        <f t="shared" si="16"/>
        <v>42.139038347695902</v>
      </c>
      <c r="BL80" s="162">
        <f t="shared" si="16"/>
        <v>44.850025818230151</v>
      </c>
      <c r="BM80" s="162">
        <f t="shared" si="16"/>
        <v>47.735422894525975</v>
      </c>
      <c r="BN80" s="162">
        <f t="shared" si="16"/>
        <v>50.806450104495276</v>
      </c>
      <c r="BO80" s="162">
        <f t="shared" si="16"/>
        <v>54.075049841374202</v>
      </c>
      <c r="BP80" s="162">
        <f t="shared" ref="BP80:CX80" si="17">(1+$C$35)^(BP77-1)</f>
        <v>57.553932804456728</v>
      </c>
      <c r="BQ80" s="162">
        <f t="shared" si="17"/>
        <v>61.256627427562279</v>
      </c>
      <c r="BR80" s="162">
        <f t="shared" si="17"/>
        <v>65.197532487451639</v>
      </c>
      <c r="BS80" s="162">
        <f t="shared" si="17"/>
        <v>69.391973096770741</v>
      </c>
      <c r="BT80" s="162">
        <f t="shared" si="17"/>
        <v>73.856260299264079</v>
      </c>
      <c r="BU80" s="162">
        <f t="shared" si="17"/>
        <v>78.607754499006987</v>
      </c>
      <c r="BV80" s="162">
        <f t="shared" si="17"/>
        <v>83.664932970316187</v>
      </c>
      <c r="BW80" s="162">
        <f t="shared" si="17"/>
        <v>89.047461710866258</v>
      </c>
      <c r="BX80" s="162">
        <f t="shared" si="17"/>
        <v>94.776271917429426</v>
      </c>
      <c r="BY80" s="162">
        <f t="shared" si="17"/>
        <v>100.8736413816319</v>
      </c>
      <c r="BZ80" s="162">
        <f t="shared" si="17"/>
        <v>107.36328112225314</v>
      </c>
      <c r="CA80" s="162">
        <f t="shared" si="17"/>
        <v>114.27042759095723</v>
      </c>
      <c r="CB80" s="162">
        <f t="shared" si="17"/>
        <v>121.62194081001992</v>
      </c>
      <c r="CC80" s="162">
        <f t="shared" si="17"/>
        <v>129.44640882368191</v>
      </c>
      <c r="CD80" s="162">
        <f t="shared" si="17"/>
        <v>137.77425886931172</v>
      </c>
      <c r="CE80" s="162">
        <f t="shared" si="17"/>
        <v>146.63787570069269</v>
      </c>
      <c r="CF80" s="162">
        <f t="shared" si="17"/>
        <v>156.07172752356118</v>
      </c>
      <c r="CG80" s="162">
        <f t="shared" si="17"/>
        <v>166.11250003312523</v>
      </c>
      <c r="CH80" s="162">
        <f t="shared" si="17"/>
        <v>176.79923907479932</v>
      </c>
      <c r="CI80" s="162">
        <f t="shared" si="17"/>
        <v>188.17350248292419</v>
      </c>
      <c r="CJ80" s="162">
        <f t="shared" si="17"/>
        <v>200.27952168793169</v>
      </c>
      <c r="CK80" s="162">
        <f t="shared" si="17"/>
        <v>213.16437372040011</v>
      </c>
      <c r="CL80" s="162">
        <f t="shared" si="17"/>
        <v>226.87816428087893</v>
      </c>
      <c r="CM80" s="162">
        <f t="shared" si="17"/>
        <v>241.47422258738993</v>
      </c>
      <c r="CN80" s="162">
        <f t="shared" si="17"/>
        <v>257.00930875831597</v>
      </c>
      <c r="CO80" s="162">
        <f t="shared" si="17"/>
        <v>273.54383453713126</v>
      </c>
      <c r="CP80" s="162">
        <f t="shared" si="17"/>
        <v>291.14209821731339</v>
      </c>
      <c r="CQ80" s="162">
        <f t="shared" si="17"/>
        <v>309.87253468099556</v>
      </c>
      <c r="CR80" s="162">
        <f t="shared" si="17"/>
        <v>329.80798152369272</v>
      </c>
      <c r="CS80" s="162">
        <f t="shared" si="17"/>
        <v>351.02596229998659</v>
      </c>
      <c r="CT80" s="162">
        <f t="shared" si="17"/>
        <v>373.60898799163783</v>
      </c>
      <c r="CU80" s="162">
        <f t="shared" si="17"/>
        <v>397.64487787045113</v>
      </c>
      <c r="CV80" s="162">
        <f t="shared" si="17"/>
        <v>423.22710100364372</v>
      </c>
      <c r="CW80" s="162">
        <f t="shared" si="17"/>
        <v>450.45513972973743</v>
      </c>
      <c r="CX80" s="162">
        <f t="shared" si="17"/>
        <v>479.43487651843526</v>
      </c>
    </row>
    <row r="81" spans="1:102" ht="20" customHeight="1">
      <c r="A81" s="160"/>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162"/>
      <c r="AK81" s="162"/>
      <c r="AL81" s="162"/>
      <c r="AM81" s="162"/>
      <c r="AN81" s="162"/>
      <c r="AO81" s="162"/>
      <c r="AP81" s="162"/>
      <c r="AQ81" s="162"/>
      <c r="AR81" s="162"/>
      <c r="AS81" s="162"/>
      <c r="AT81" s="162"/>
      <c r="AU81" s="162"/>
      <c r="AV81" s="162"/>
      <c r="AW81" s="162"/>
      <c r="AX81" s="162"/>
      <c r="AY81" s="162"/>
      <c r="AZ81" s="162"/>
      <c r="BA81" s="162"/>
      <c r="BB81" s="162"/>
      <c r="BC81" s="162"/>
      <c r="BD81" s="162"/>
      <c r="BE81" s="162"/>
      <c r="BF81" s="162"/>
      <c r="BG81" s="162"/>
      <c r="BH81" s="162"/>
      <c r="BI81" s="162"/>
      <c r="BJ81" s="162"/>
      <c r="BK81" s="162"/>
      <c r="BL81" s="162"/>
      <c r="BM81" s="162"/>
      <c r="BN81" s="162"/>
      <c r="BO81" s="162"/>
      <c r="BP81" s="162"/>
      <c r="BQ81" s="162"/>
      <c r="BR81" s="162"/>
      <c r="BS81" s="162"/>
      <c r="BT81" s="162"/>
      <c r="BU81" s="162"/>
      <c r="BV81" s="162"/>
      <c r="BW81" s="162"/>
      <c r="BX81" s="162"/>
      <c r="BY81" s="162"/>
      <c r="BZ81" s="162"/>
      <c r="CA81" s="162"/>
      <c r="CB81" s="162"/>
      <c r="CC81" s="162"/>
      <c r="CD81" s="162"/>
      <c r="CE81" s="162"/>
      <c r="CF81" s="162"/>
      <c r="CG81" s="162"/>
      <c r="CH81" s="162"/>
      <c r="CI81" s="162"/>
      <c r="CJ81" s="162"/>
      <c r="CK81" s="162"/>
      <c r="CL81" s="162"/>
      <c r="CM81" s="162"/>
      <c r="CN81" s="162"/>
      <c r="CO81" s="162"/>
      <c r="CP81" s="162"/>
      <c r="CQ81" s="162"/>
      <c r="CR81" s="162"/>
      <c r="CS81" s="162"/>
      <c r="CT81" s="162"/>
      <c r="CU81" s="162"/>
      <c r="CV81" s="162"/>
      <c r="CW81" s="162"/>
      <c r="CX81" s="162"/>
    </row>
    <row r="82" spans="1:102" s="88" customFormat="1" ht="20" customHeight="1">
      <c r="A82" s="90" t="s">
        <v>150</v>
      </c>
      <c r="C82" s="163"/>
      <c r="D82" s="163"/>
      <c r="E82" s="163"/>
      <c r="F82" s="164"/>
      <c r="G82" s="164"/>
      <c r="H82" s="164"/>
      <c r="I82" s="164"/>
      <c r="J82" s="164"/>
      <c r="K82" s="164"/>
      <c r="L82" s="164"/>
      <c r="M82" s="164"/>
      <c r="N82" s="164"/>
      <c r="O82" s="164"/>
      <c r="P82" s="164"/>
      <c r="Q82" s="164"/>
      <c r="R82" s="164"/>
      <c r="S82" s="164"/>
      <c r="T82" s="164"/>
      <c r="U82" s="164"/>
      <c r="V82" s="164"/>
      <c r="W82" s="164"/>
      <c r="X82" s="163"/>
      <c r="Y82" s="163"/>
      <c r="Z82" s="163"/>
      <c r="AA82" s="163"/>
      <c r="AB82" s="163"/>
      <c r="AC82" s="163"/>
      <c r="AD82" s="163"/>
      <c r="AE82" s="163"/>
      <c r="AF82" s="163"/>
      <c r="AG82" s="163"/>
      <c r="AH82" s="163"/>
      <c r="AI82" s="163"/>
      <c r="AJ82" s="163"/>
      <c r="AK82" s="163"/>
      <c r="AL82" s="163"/>
      <c r="AM82" s="163"/>
      <c r="AN82" s="163"/>
      <c r="AO82" s="163"/>
      <c r="AP82" s="163"/>
      <c r="AQ82" s="163"/>
      <c r="AR82" s="163"/>
      <c r="AS82" s="163"/>
      <c r="AT82" s="163"/>
      <c r="AU82" s="163"/>
      <c r="AV82" s="163"/>
      <c r="AW82" s="163"/>
      <c r="AX82" s="163"/>
      <c r="AY82" s="163"/>
      <c r="AZ82" s="163"/>
      <c r="BA82" s="163"/>
      <c r="BB82" s="163"/>
      <c r="BC82" s="163"/>
      <c r="BD82" s="163"/>
      <c r="BE82" s="163"/>
      <c r="BF82" s="163"/>
      <c r="BG82" s="163"/>
      <c r="BH82" s="163"/>
      <c r="BI82" s="163"/>
      <c r="BJ82" s="163"/>
      <c r="BK82" s="163"/>
      <c r="BL82" s="163"/>
      <c r="BM82" s="163"/>
      <c r="BN82" s="163"/>
      <c r="BO82" s="163"/>
      <c r="BP82" s="163"/>
      <c r="BQ82" s="163"/>
      <c r="BR82" s="163"/>
      <c r="BS82" s="163"/>
      <c r="BT82" s="163"/>
      <c r="BU82" s="163"/>
      <c r="BV82" s="163"/>
      <c r="BW82" s="163"/>
      <c r="BX82" s="163"/>
      <c r="BY82" s="163"/>
      <c r="BZ82" s="163"/>
      <c r="CA82" s="163"/>
      <c r="CB82" s="163"/>
      <c r="CC82" s="163"/>
      <c r="CD82" s="163"/>
      <c r="CE82" s="163"/>
      <c r="CF82" s="163"/>
      <c r="CG82" s="163"/>
      <c r="CH82" s="163"/>
      <c r="CI82" s="163"/>
      <c r="CJ82" s="163"/>
      <c r="CK82" s="163"/>
      <c r="CL82" s="163"/>
      <c r="CM82" s="163"/>
      <c r="CN82" s="163"/>
      <c r="CO82" s="163"/>
      <c r="CP82" s="163"/>
      <c r="CQ82" s="163"/>
      <c r="CR82" s="163"/>
      <c r="CS82" s="163"/>
      <c r="CT82" s="163"/>
      <c r="CU82" s="163"/>
      <c r="CV82" s="163"/>
      <c r="CW82" s="163"/>
      <c r="CX82" s="163"/>
    </row>
    <row r="83" spans="1:102" ht="20" customHeight="1">
      <c r="B83" s="155" t="s">
        <v>147</v>
      </c>
      <c r="C83" s="123">
        <f>$C$38</f>
        <v>2024</v>
      </c>
      <c r="D83" s="123">
        <f t="shared" ref="D83:BO84" si="18">C83+1</f>
        <v>2025</v>
      </c>
      <c r="E83" s="123">
        <f t="shared" si="18"/>
        <v>2026</v>
      </c>
      <c r="F83" s="123">
        <f t="shared" si="18"/>
        <v>2027</v>
      </c>
      <c r="G83" s="123">
        <f t="shared" si="18"/>
        <v>2028</v>
      </c>
      <c r="H83" s="123">
        <f t="shared" si="18"/>
        <v>2029</v>
      </c>
      <c r="I83" s="123">
        <f t="shared" si="18"/>
        <v>2030</v>
      </c>
      <c r="J83" s="123">
        <f t="shared" si="18"/>
        <v>2031</v>
      </c>
      <c r="K83" s="123">
        <f t="shared" si="18"/>
        <v>2032</v>
      </c>
      <c r="L83" s="123">
        <f t="shared" si="18"/>
        <v>2033</v>
      </c>
      <c r="M83" s="123">
        <f t="shared" si="18"/>
        <v>2034</v>
      </c>
      <c r="N83" s="123">
        <f t="shared" si="18"/>
        <v>2035</v>
      </c>
      <c r="O83" s="123">
        <f t="shared" si="18"/>
        <v>2036</v>
      </c>
      <c r="P83" s="123">
        <f t="shared" si="18"/>
        <v>2037</v>
      </c>
      <c r="Q83" s="123">
        <f t="shared" si="18"/>
        <v>2038</v>
      </c>
      <c r="R83" s="123">
        <f t="shared" si="18"/>
        <v>2039</v>
      </c>
      <c r="S83" s="123">
        <f t="shared" si="18"/>
        <v>2040</v>
      </c>
      <c r="T83" s="123">
        <f t="shared" si="18"/>
        <v>2041</v>
      </c>
      <c r="U83" s="123">
        <f t="shared" si="18"/>
        <v>2042</v>
      </c>
      <c r="V83" s="123">
        <f t="shared" si="18"/>
        <v>2043</v>
      </c>
      <c r="W83" s="123">
        <f t="shared" si="18"/>
        <v>2044</v>
      </c>
      <c r="X83" s="123">
        <f t="shared" si="18"/>
        <v>2045</v>
      </c>
      <c r="Y83" s="123">
        <f t="shared" si="18"/>
        <v>2046</v>
      </c>
      <c r="Z83" s="123">
        <f t="shared" si="18"/>
        <v>2047</v>
      </c>
      <c r="AA83" s="123">
        <f t="shared" si="18"/>
        <v>2048</v>
      </c>
      <c r="AB83" s="123">
        <f t="shared" si="18"/>
        <v>2049</v>
      </c>
      <c r="AC83" s="123">
        <f t="shared" si="18"/>
        <v>2050</v>
      </c>
      <c r="AD83" s="123">
        <f t="shared" si="18"/>
        <v>2051</v>
      </c>
      <c r="AE83" s="123">
        <f t="shared" si="18"/>
        <v>2052</v>
      </c>
      <c r="AF83" s="123">
        <f t="shared" si="18"/>
        <v>2053</v>
      </c>
      <c r="AG83" s="123">
        <f t="shared" si="18"/>
        <v>2054</v>
      </c>
      <c r="AH83" s="123">
        <f t="shared" si="18"/>
        <v>2055</v>
      </c>
      <c r="AI83" s="123">
        <f t="shared" si="18"/>
        <v>2056</v>
      </c>
      <c r="AJ83" s="123">
        <f t="shared" si="18"/>
        <v>2057</v>
      </c>
      <c r="AK83" s="123">
        <f t="shared" si="18"/>
        <v>2058</v>
      </c>
      <c r="AL83" s="123">
        <f t="shared" si="18"/>
        <v>2059</v>
      </c>
      <c r="AM83" s="123">
        <f t="shared" si="18"/>
        <v>2060</v>
      </c>
      <c r="AN83" s="123">
        <f t="shared" si="18"/>
        <v>2061</v>
      </c>
      <c r="AO83" s="123">
        <f t="shared" si="18"/>
        <v>2062</v>
      </c>
      <c r="AP83" s="123">
        <f t="shared" si="18"/>
        <v>2063</v>
      </c>
      <c r="AQ83" s="123">
        <f t="shared" si="18"/>
        <v>2064</v>
      </c>
      <c r="AR83" s="123">
        <f t="shared" si="18"/>
        <v>2065</v>
      </c>
      <c r="AS83" s="123">
        <f t="shared" si="18"/>
        <v>2066</v>
      </c>
      <c r="AT83" s="123">
        <f t="shared" si="18"/>
        <v>2067</v>
      </c>
      <c r="AU83" s="123">
        <f t="shared" si="18"/>
        <v>2068</v>
      </c>
      <c r="AV83" s="123">
        <f t="shared" si="18"/>
        <v>2069</v>
      </c>
      <c r="AW83" s="123">
        <f t="shared" si="18"/>
        <v>2070</v>
      </c>
      <c r="AX83" s="123">
        <f t="shared" si="18"/>
        <v>2071</v>
      </c>
      <c r="AY83" s="123">
        <f t="shared" si="18"/>
        <v>2072</v>
      </c>
      <c r="AZ83" s="123">
        <f t="shared" si="18"/>
        <v>2073</v>
      </c>
      <c r="BA83" s="123">
        <f t="shared" si="18"/>
        <v>2074</v>
      </c>
      <c r="BB83" s="123">
        <f t="shared" si="18"/>
        <v>2075</v>
      </c>
      <c r="BC83" s="123">
        <f t="shared" si="18"/>
        <v>2076</v>
      </c>
      <c r="BD83" s="123">
        <f t="shared" si="18"/>
        <v>2077</v>
      </c>
      <c r="BE83" s="123">
        <f t="shared" si="18"/>
        <v>2078</v>
      </c>
      <c r="BF83" s="123">
        <f t="shared" si="18"/>
        <v>2079</v>
      </c>
      <c r="BG83" s="123">
        <f t="shared" si="18"/>
        <v>2080</v>
      </c>
      <c r="BH83" s="123">
        <f t="shared" si="18"/>
        <v>2081</v>
      </c>
      <c r="BI83" s="123">
        <f t="shared" si="18"/>
        <v>2082</v>
      </c>
      <c r="BJ83" s="123">
        <f t="shared" si="18"/>
        <v>2083</v>
      </c>
      <c r="BK83" s="123">
        <f t="shared" si="18"/>
        <v>2084</v>
      </c>
      <c r="BL83" s="123">
        <f t="shared" si="18"/>
        <v>2085</v>
      </c>
      <c r="BM83" s="123">
        <f t="shared" si="18"/>
        <v>2086</v>
      </c>
      <c r="BN83" s="123">
        <f t="shared" si="18"/>
        <v>2087</v>
      </c>
      <c r="BO83" s="123">
        <f t="shared" si="18"/>
        <v>2088</v>
      </c>
      <c r="BP83" s="123">
        <f t="shared" ref="BP83:CX84" si="19">BO83+1</f>
        <v>2089</v>
      </c>
      <c r="BQ83" s="123">
        <f t="shared" si="19"/>
        <v>2090</v>
      </c>
      <c r="BR83" s="123">
        <f t="shared" si="19"/>
        <v>2091</v>
      </c>
      <c r="BS83" s="123">
        <f t="shared" si="19"/>
        <v>2092</v>
      </c>
      <c r="BT83" s="123">
        <f t="shared" si="19"/>
        <v>2093</v>
      </c>
      <c r="BU83" s="123">
        <f t="shared" si="19"/>
        <v>2094</v>
      </c>
      <c r="BV83" s="123">
        <f t="shared" si="19"/>
        <v>2095</v>
      </c>
      <c r="BW83" s="123">
        <f t="shared" si="19"/>
        <v>2096</v>
      </c>
      <c r="BX83" s="123">
        <f t="shared" si="19"/>
        <v>2097</v>
      </c>
      <c r="BY83" s="123">
        <f t="shared" si="19"/>
        <v>2098</v>
      </c>
      <c r="BZ83" s="123">
        <f t="shared" si="19"/>
        <v>2099</v>
      </c>
      <c r="CA83" s="123">
        <f t="shared" si="19"/>
        <v>2100</v>
      </c>
      <c r="CB83" s="123">
        <f t="shared" si="19"/>
        <v>2101</v>
      </c>
      <c r="CC83" s="123">
        <f t="shared" si="19"/>
        <v>2102</v>
      </c>
      <c r="CD83" s="123">
        <f t="shared" si="19"/>
        <v>2103</v>
      </c>
      <c r="CE83" s="123">
        <f t="shared" si="19"/>
        <v>2104</v>
      </c>
      <c r="CF83" s="123">
        <f t="shared" si="19"/>
        <v>2105</v>
      </c>
      <c r="CG83" s="123">
        <f t="shared" si="19"/>
        <v>2106</v>
      </c>
      <c r="CH83" s="123">
        <f t="shared" si="19"/>
        <v>2107</v>
      </c>
      <c r="CI83" s="123">
        <f t="shared" si="19"/>
        <v>2108</v>
      </c>
      <c r="CJ83" s="123">
        <f t="shared" si="19"/>
        <v>2109</v>
      </c>
      <c r="CK83" s="123">
        <f t="shared" si="19"/>
        <v>2110</v>
      </c>
      <c r="CL83" s="123">
        <f t="shared" si="19"/>
        <v>2111</v>
      </c>
      <c r="CM83" s="123">
        <f t="shared" si="19"/>
        <v>2112</v>
      </c>
      <c r="CN83" s="123">
        <f t="shared" si="19"/>
        <v>2113</v>
      </c>
      <c r="CO83" s="123">
        <f t="shared" si="19"/>
        <v>2114</v>
      </c>
      <c r="CP83" s="123">
        <f t="shared" si="19"/>
        <v>2115</v>
      </c>
      <c r="CQ83" s="123">
        <f t="shared" si="19"/>
        <v>2116</v>
      </c>
      <c r="CR83" s="123">
        <f t="shared" si="19"/>
        <v>2117</v>
      </c>
      <c r="CS83" s="123">
        <f t="shared" si="19"/>
        <v>2118</v>
      </c>
      <c r="CT83" s="123">
        <f t="shared" si="19"/>
        <v>2119</v>
      </c>
      <c r="CU83" s="123">
        <f t="shared" si="19"/>
        <v>2120</v>
      </c>
      <c r="CV83" s="123">
        <f t="shared" si="19"/>
        <v>2121</v>
      </c>
      <c r="CW83" s="123">
        <f t="shared" si="19"/>
        <v>2122</v>
      </c>
      <c r="CX83" s="156">
        <f t="shared" si="19"/>
        <v>2123</v>
      </c>
    </row>
    <row r="84" spans="1:102" ht="20" customHeight="1">
      <c r="B84" s="157" t="s">
        <v>148</v>
      </c>
      <c r="C84" s="158">
        <v>1</v>
      </c>
      <c r="D84" s="158">
        <f t="shared" si="18"/>
        <v>2</v>
      </c>
      <c r="E84" s="158">
        <f t="shared" si="18"/>
        <v>3</v>
      </c>
      <c r="F84" s="158">
        <f t="shared" si="18"/>
        <v>4</v>
      </c>
      <c r="G84" s="158">
        <f t="shared" si="18"/>
        <v>5</v>
      </c>
      <c r="H84" s="158">
        <f t="shared" si="18"/>
        <v>6</v>
      </c>
      <c r="I84" s="158">
        <f t="shared" si="18"/>
        <v>7</v>
      </c>
      <c r="J84" s="158">
        <f t="shared" si="18"/>
        <v>8</v>
      </c>
      <c r="K84" s="158">
        <f t="shared" si="18"/>
        <v>9</v>
      </c>
      <c r="L84" s="158">
        <f t="shared" si="18"/>
        <v>10</v>
      </c>
      <c r="M84" s="158">
        <f t="shared" si="18"/>
        <v>11</v>
      </c>
      <c r="N84" s="158">
        <f t="shared" si="18"/>
        <v>12</v>
      </c>
      <c r="O84" s="158">
        <f t="shared" si="18"/>
        <v>13</v>
      </c>
      <c r="P84" s="158">
        <f t="shared" si="18"/>
        <v>14</v>
      </c>
      <c r="Q84" s="158">
        <f t="shared" si="18"/>
        <v>15</v>
      </c>
      <c r="R84" s="158">
        <f t="shared" si="18"/>
        <v>16</v>
      </c>
      <c r="S84" s="158">
        <f t="shared" si="18"/>
        <v>17</v>
      </c>
      <c r="T84" s="158">
        <f t="shared" si="18"/>
        <v>18</v>
      </c>
      <c r="U84" s="158">
        <f t="shared" si="18"/>
        <v>19</v>
      </c>
      <c r="V84" s="158">
        <f t="shared" si="18"/>
        <v>20</v>
      </c>
      <c r="W84" s="158">
        <f t="shared" si="18"/>
        <v>21</v>
      </c>
      <c r="X84" s="158">
        <f t="shared" si="18"/>
        <v>22</v>
      </c>
      <c r="Y84" s="158">
        <f t="shared" si="18"/>
        <v>23</v>
      </c>
      <c r="Z84" s="158">
        <f t="shared" si="18"/>
        <v>24</v>
      </c>
      <c r="AA84" s="158">
        <f t="shared" si="18"/>
        <v>25</v>
      </c>
      <c r="AB84" s="158">
        <f t="shared" si="18"/>
        <v>26</v>
      </c>
      <c r="AC84" s="158">
        <f t="shared" si="18"/>
        <v>27</v>
      </c>
      <c r="AD84" s="158">
        <f t="shared" si="18"/>
        <v>28</v>
      </c>
      <c r="AE84" s="158">
        <f t="shared" si="18"/>
        <v>29</v>
      </c>
      <c r="AF84" s="158">
        <f t="shared" si="18"/>
        <v>30</v>
      </c>
      <c r="AG84" s="158">
        <f t="shared" si="18"/>
        <v>31</v>
      </c>
      <c r="AH84" s="158">
        <f t="shared" si="18"/>
        <v>32</v>
      </c>
      <c r="AI84" s="158">
        <f t="shared" si="18"/>
        <v>33</v>
      </c>
      <c r="AJ84" s="158">
        <f t="shared" si="18"/>
        <v>34</v>
      </c>
      <c r="AK84" s="158">
        <f t="shared" si="18"/>
        <v>35</v>
      </c>
      <c r="AL84" s="158">
        <f t="shared" si="18"/>
        <v>36</v>
      </c>
      <c r="AM84" s="158">
        <f t="shared" si="18"/>
        <v>37</v>
      </c>
      <c r="AN84" s="158">
        <f t="shared" si="18"/>
        <v>38</v>
      </c>
      <c r="AO84" s="158">
        <f t="shared" si="18"/>
        <v>39</v>
      </c>
      <c r="AP84" s="158">
        <f t="shared" si="18"/>
        <v>40</v>
      </c>
      <c r="AQ84" s="158">
        <f t="shared" si="18"/>
        <v>41</v>
      </c>
      <c r="AR84" s="158">
        <f t="shared" si="18"/>
        <v>42</v>
      </c>
      <c r="AS84" s="158">
        <f t="shared" si="18"/>
        <v>43</v>
      </c>
      <c r="AT84" s="158">
        <f t="shared" si="18"/>
        <v>44</v>
      </c>
      <c r="AU84" s="158">
        <f t="shared" si="18"/>
        <v>45</v>
      </c>
      <c r="AV84" s="158">
        <f t="shared" si="18"/>
        <v>46</v>
      </c>
      <c r="AW84" s="158">
        <f t="shared" si="18"/>
        <v>47</v>
      </c>
      <c r="AX84" s="158">
        <f t="shared" si="18"/>
        <v>48</v>
      </c>
      <c r="AY84" s="158">
        <f t="shared" si="18"/>
        <v>49</v>
      </c>
      <c r="AZ84" s="158">
        <f t="shared" si="18"/>
        <v>50</v>
      </c>
      <c r="BA84" s="158">
        <f t="shared" si="18"/>
        <v>51</v>
      </c>
      <c r="BB84" s="158">
        <f t="shared" si="18"/>
        <v>52</v>
      </c>
      <c r="BC84" s="158">
        <f t="shared" si="18"/>
        <v>53</v>
      </c>
      <c r="BD84" s="158">
        <f t="shared" si="18"/>
        <v>54</v>
      </c>
      <c r="BE84" s="158">
        <f t="shared" si="18"/>
        <v>55</v>
      </c>
      <c r="BF84" s="158">
        <f t="shared" si="18"/>
        <v>56</v>
      </c>
      <c r="BG84" s="158">
        <f t="shared" si="18"/>
        <v>57</v>
      </c>
      <c r="BH84" s="158">
        <f t="shared" si="18"/>
        <v>58</v>
      </c>
      <c r="BI84" s="158">
        <f t="shared" si="18"/>
        <v>59</v>
      </c>
      <c r="BJ84" s="158">
        <f t="shared" si="18"/>
        <v>60</v>
      </c>
      <c r="BK84" s="158">
        <f t="shared" si="18"/>
        <v>61</v>
      </c>
      <c r="BL84" s="158">
        <f t="shared" si="18"/>
        <v>62</v>
      </c>
      <c r="BM84" s="158">
        <f t="shared" si="18"/>
        <v>63</v>
      </c>
      <c r="BN84" s="158">
        <f t="shared" si="18"/>
        <v>64</v>
      </c>
      <c r="BO84" s="158">
        <f t="shared" si="18"/>
        <v>65</v>
      </c>
      <c r="BP84" s="158">
        <f t="shared" si="19"/>
        <v>66</v>
      </c>
      <c r="BQ84" s="158">
        <f t="shared" si="19"/>
        <v>67</v>
      </c>
      <c r="BR84" s="158">
        <f t="shared" si="19"/>
        <v>68</v>
      </c>
      <c r="BS84" s="158">
        <f t="shared" si="19"/>
        <v>69</v>
      </c>
      <c r="BT84" s="158">
        <f t="shared" si="19"/>
        <v>70</v>
      </c>
      <c r="BU84" s="158">
        <f t="shared" si="19"/>
        <v>71</v>
      </c>
      <c r="BV84" s="158">
        <f t="shared" si="19"/>
        <v>72</v>
      </c>
      <c r="BW84" s="158">
        <f t="shared" si="19"/>
        <v>73</v>
      </c>
      <c r="BX84" s="158">
        <f t="shared" si="19"/>
        <v>74</v>
      </c>
      <c r="BY84" s="158">
        <f t="shared" si="19"/>
        <v>75</v>
      </c>
      <c r="BZ84" s="158">
        <f t="shared" si="19"/>
        <v>76</v>
      </c>
      <c r="CA84" s="158">
        <f t="shared" si="19"/>
        <v>77</v>
      </c>
      <c r="CB84" s="158">
        <f t="shared" si="19"/>
        <v>78</v>
      </c>
      <c r="CC84" s="158">
        <f t="shared" si="19"/>
        <v>79</v>
      </c>
      <c r="CD84" s="158">
        <f t="shared" si="19"/>
        <v>80</v>
      </c>
      <c r="CE84" s="158">
        <f t="shared" si="19"/>
        <v>81</v>
      </c>
      <c r="CF84" s="158">
        <f t="shared" si="19"/>
        <v>82</v>
      </c>
      <c r="CG84" s="158">
        <f t="shared" si="19"/>
        <v>83</v>
      </c>
      <c r="CH84" s="158">
        <f t="shared" si="19"/>
        <v>84</v>
      </c>
      <c r="CI84" s="158">
        <f t="shared" si="19"/>
        <v>85</v>
      </c>
      <c r="CJ84" s="158">
        <f t="shared" si="19"/>
        <v>86</v>
      </c>
      <c r="CK84" s="158">
        <f t="shared" si="19"/>
        <v>87</v>
      </c>
      <c r="CL84" s="158">
        <f t="shared" si="19"/>
        <v>88</v>
      </c>
      <c r="CM84" s="158">
        <f t="shared" si="19"/>
        <v>89</v>
      </c>
      <c r="CN84" s="158">
        <f t="shared" si="19"/>
        <v>90</v>
      </c>
      <c r="CO84" s="158">
        <f t="shared" si="19"/>
        <v>91</v>
      </c>
      <c r="CP84" s="158">
        <f t="shared" si="19"/>
        <v>92</v>
      </c>
      <c r="CQ84" s="158">
        <f t="shared" si="19"/>
        <v>93</v>
      </c>
      <c r="CR84" s="158">
        <f t="shared" si="19"/>
        <v>94</v>
      </c>
      <c r="CS84" s="158">
        <f t="shared" si="19"/>
        <v>95</v>
      </c>
      <c r="CT84" s="158">
        <f t="shared" si="19"/>
        <v>96</v>
      </c>
      <c r="CU84" s="158">
        <f t="shared" si="19"/>
        <v>97</v>
      </c>
      <c r="CV84" s="158">
        <f t="shared" si="19"/>
        <v>98</v>
      </c>
      <c r="CW84" s="158">
        <f t="shared" si="19"/>
        <v>99</v>
      </c>
      <c r="CX84" s="159">
        <f t="shared" si="19"/>
        <v>100</v>
      </c>
    </row>
    <row r="85" spans="1:102" ht="20" customHeight="1"/>
    <row r="86" spans="1:102" ht="20" customHeight="1">
      <c r="B86" s="91"/>
      <c r="D86" s="165"/>
    </row>
    <row r="87" spans="1:102" ht="20" customHeight="1">
      <c r="B87" s="166" t="str">
        <f>"Capital Costs in Real "&amp;C37&amp;"$"</f>
        <v>Capital Costs in Real 2024$</v>
      </c>
      <c r="C87" s="167"/>
      <c r="D87" s="167"/>
      <c r="E87" s="167"/>
      <c r="F87" s="168"/>
      <c r="G87" s="168"/>
      <c r="H87" s="168"/>
      <c r="I87" s="168"/>
      <c r="J87" s="168"/>
      <c r="K87" s="168"/>
      <c r="L87" s="168"/>
      <c r="M87" s="168"/>
      <c r="N87" s="168"/>
      <c r="O87" s="168"/>
      <c r="P87" s="168"/>
      <c r="Q87" s="168"/>
      <c r="R87" s="168"/>
      <c r="S87" s="168"/>
      <c r="T87" s="168"/>
      <c r="U87" s="168"/>
      <c r="V87" s="168"/>
      <c r="W87" s="168"/>
      <c r="X87" s="168"/>
      <c r="Y87" s="168"/>
      <c r="Z87" s="168"/>
      <c r="AA87" s="168"/>
      <c r="AB87" s="168"/>
      <c r="AC87" s="168"/>
      <c r="AD87" s="168"/>
      <c r="AE87" s="168"/>
      <c r="AF87" s="168"/>
      <c r="AG87" s="168"/>
      <c r="AH87" s="168"/>
      <c r="AI87" s="168"/>
      <c r="AJ87" s="168"/>
      <c r="AK87" s="168"/>
      <c r="AL87" s="168"/>
      <c r="AM87" s="168"/>
      <c r="AN87" s="168"/>
      <c r="AO87" s="168"/>
      <c r="AP87" s="168"/>
      <c r="AQ87" s="168"/>
      <c r="AR87" s="168"/>
      <c r="AS87" s="168"/>
      <c r="AT87" s="168"/>
      <c r="AU87" s="168"/>
      <c r="AV87" s="168"/>
      <c r="AW87" s="168"/>
      <c r="AX87" s="168"/>
      <c r="AY87" s="168"/>
      <c r="AZ87" s="168"/>
      <c r="BA87" s="168"/>
      <c r="BB87" s="168"/>
      <c r="BC87" s="168"/>
      <c r="BD87" s="168"/>
      <c r="BE87" s="168"/>
      <c r="BF87" s="168"/>
      <c r="BG87" s="168"/>
      <c r="BH87" s="168"/>
      <c r="BI87" s="168"/>
      <c r="BJ87" s="168"/>
      <c r="BK87" s="168"/>
      <c r="BL87" s="168"/>
      <c r="BM87" s="168"/>
      <c r="BN87" s="168"/>
      <c r="BO87" s="168"/>
      <c r="BP87" s="168"/>
      <c r="BQ87" s="168"/>
      <c r="BR87" s="168"/>
      <c r="BS87" s="168"/>
      <c r="BT87" s="168"/>
      <c r="BU87" s="168"/>
      <c r="BV87" s="168"/>
      <c r="BW87" s="168"/>
      <c r="BX87" s="168"/>
      <c r="BY87" s="168"/>
      <c r="BZ87" s="168"/>
      <c r="CA87" s="168"/>
      <c r="CB87" s="168"/>
      <c r="CC87" s="168"/>
      <c r="CD87" s="168"/>
      <c r="CE87" s="168"/>
      <c r="CF87" s="168"/>
      <c r="CG87" s="168"/>
      <c r="CH87" s="168"/>
      <c r="CI87" s="168"/>
      <c r="CJ87" s="168"/>
      <c r="CK87" s="168"/>
      <c r="CL87" s="168"/>
      <c r="CM87" s="168"/>
      <c r="CN87" s="168"/>
      <c r="CO87" s="168"/>
      <c r="CP87" s="168"/>
      <c r="CQ87" s="168"/>
      <c r="CR87" s="168"/>
      <c r="CS87" s="168"/>
      <c r="CT87" s="168"/>
      <c r="CU87" s="168"/>
      <c r="CV87" s="168"/>
      <c r="CW87" s="168"/>
      <c r="CX87" s="169"/>
    </row>
    <row r="88" spans="1:102" ht="20" customHeight="1">
      <c r="A88" s="170">
        <f>SUM(C88:CX88)</f>
        <v>16530569.6655627</v>
      </c>
      <c r="B88" s="171" t="str">
        <f t="shared" ref="B88:B95" si="20">B52</f>
        <v>Liquefaction equipment</v>
      </c>
      <c r="C88" s="109">
        <f t="shared" ref="C88:AH88" si="21">$C52*D52</f>
        <v>8265284.8327813502</v>
      </c>
      <c r="D88" s="109">
        <f t="shared" si="21"/>
        <v>8265284.8327813502</v>
      </c>
      <c r="E88" s="109">
        <f t="shared" si="21"/>
        <v>0</v>
      </c>
      <c r="F88" s="109">
        <f t="shared" si="21"/>
        <v>0</v>
      </c>
      <c r="G88" s="109">
        <f t="shared" si="21"/>
        <v>0</v>
      </c>
      <c r="H88" s="109">
        <f t="shared" si="21"/>
        <v>0</v>
      </c>
      <c r="I88" s="109">
        <f t="shared" si="21"/>
        <v>0</v>
      </c>
      <c r="J88" s="109">
        <f t="shared" si="21"/>
        <v>0</v>
      </c>
      <c r="K88" s="109">
        <f t="shared" si="21"/>
        <v>0</v>
      </c>
      <c r="L88" s="109">
        <f t="shared" si="21"/>
        <v>0</v>
      </c>
      <c r="M88" s="109">
        <f t="shared" si="21"/>
        <v>0</v>
      </c>
      <c r="N88" s="109">
        <f t="shared" si="21"/>
        <v>0</v>
      </c>
      <c r="O88" s="109">
        <f t="shared" si="21"/>
        <v>0</v>
      </c>
      <c r="P88" s="109">
        <f t="shared" si="21"/>
        <v>0</v>
      </c>
      <c r="Q88" s="109">
        <f t="shared" si="21"/>
        <v>0</v>
      </c>
      <c r="R88" s="109">
        <f t="shared" si="21"/>
        <v>0</v>
      </c>
      <c r="S88" s="109">
        <f t="shared" si="21"/>
        <v>0</v>
      </c>
      <c r="T88" s="109">
        <f t="shared" si="21"/>
        <v>0</v>
      </c>
      <c r="U88" s="109">
        <f t="shared" si="21"/>
        <v>0</v>
      </c>
      <c r="V88" s="109">
        <f t="shared" si="21"/>
        <v>0</v>
      </c>
      <c r="W88" s="109">
        <f t="shared" si="21"/>
        <v>0</v>
      </c>
      <c r="X88" s="109">
        <f t="shared" si="21"/>
        <v>0</v>
      </c>
      <c r="Y88" s="109">
        <f t="shared" si="21"/>
        <v>0</v>
      </c>
      <c r="Z88" s="109">
        <f t="shared" si="21"/>
        <v>0</v>
      </c>
      <c r="AA88" s="109">
        <f t="shared" si="21"/>
        <v>0</v>
      </c>
      <c r="AB88" s="109">
        <f t="shared" si="21"/>
        <v>0</v>
      </c>
      <c r="AC88" s="109">
        <f t="shared" si="21"/>
        <v>0</v>
      </c>
      <c r="AD88" s="109">
        <f t="shared" si="21"/>
        <v>0</v>
      </c>
      <c r="AE88" s="109">
        <f t="shared" si="21"/>
        <v>0</v>
      </c>
      <c r="AF88" s="109">
        <f t="shared" si="21"/>
        <v>0</v>
      </c>
      <c r="AG88" s="109">
        <f t="shared" si="21"/>
        <v>0</v>
      </c>
      <c r="AH88" s="109">
        <f t="shared" si="21"/>
        <v>0</v>
      </c>
      <c r="AI88" s="109">
        <f t="shared" ref="AI88:BN88" si="22">$C52*AJ52</f>
        <v>0</v>
      </c>
      <c r="AJ88" s="109">
        <f t="shared" si="22"/>
        <v>0</v>
      </c>
      <c r="AK88" s="109">
        <f t="shared" si="22"/>
        <v>0</v>
      </c>
      <c r="AL88" s="109">
        <f t="shared" si="22"/>
        <v>0</v>
      </c>
      <c r="AM88" s="109">
        <f t="shared" si="22"/>
        <v>0</v>
      </c>
      <c r="AN88" s="109">
        <f t="shared" si="22"/>
        <v>0</v>
      </c>
      <c r="AO88" s="109">
        <f t="shared" si="22"/>
        <v>0</v>
      </c>
      <c r="AP88" s="109">
        <f t="shared" si="22"/>
        <v>0</v>
      </c>
      <c r="AQ88" s="109">
        <f t="shared" si="22"/>
        <v>0</v>
      </c>
      <c r="AR88" s="109">
        <f t="shared" si="22"/>
        <v>0</v>
      </c>
      <c r="AS88" s="109">
        <f t="shared" si="22"/>
        <v>0</v>
      </c>
      <c r="AT88" s="109">
        <f t="shared" si="22"/>
        <v>0</v>
      </c>
      <c r="AU88" s="109">
        <f t="shared" si="22"/>
        <v>0</v>
      </c>
      <c r="AV88" s="109">
        <f t="shared" si="22"/>
        <v>0</v>
      </c>
      <c r="AW88" s="109">
        <f t="shared" si="22"/>
        <v>0</v>
      </c>
      <c r="AX88" s="109">
        <f t="shared" si="22"/>
        <v>0</v>
      </c>
      <c r="AY88" s="109">
        <f t="shared" si="22"/>
        <v>0</v>
      </c>
      <c r="AZ88" s="109">
        <f t="shared" si="22"/>
        <v>0</v>
      </c>
      <c r="BA88" s="109">
        <f t="shared" si="22"/>
        <v>0</v>
      </c>
      <c r="BB88" s="109">
        <f t="shared" si="22"/>
        <v>0</v>
      </c>
      <c r="BC88" s="109">
        <f t="shared" si="22"/>
        <v>0</v>
      </c>
      <c r="BD88" s="109">
        <f t="shared" si="22"/>
        <v>0</v>
      </c>
      <c r="BE88" s="109">
        <f t="shared" si="22"/>
        <v>0</v>
      </c>
      <c r="BF88" s="109">
        <f t="shared" si="22"/>
        <v>0</v>
      </c>
      <c r="BG88" s="109">
        <f t="shared" si="22"/>
        <v>0</v>
      </c>
      <c r="BH88" s="109">
        <f t="shared" si="22"/>
        <v>0</v>
      </c>
      <c r="BI88" s="109">
        <f t="shared" si="22"/>
        <v>0</v>
      </c>
      <c r="BJ88" s="109">
        <f t="shared" si="22"/>
        <v>0</v>
      </c>
      <c r="BK88" s="109">
        <f t="shared" si="22"/>
        <v>0</v>
      </c>
      <c r="BL88" s="109">
        <f t="shared" si="22"/>
        <v>0</v>
      </c>
      <c r="BM88" s="109">
        <f t="shared" si="22"/>
        <v>0</v>
      </c>
      <c r="BN88" s="109">
        <f t="shared" si="22"/>
        <v>0</v>
      </c>
      <c r="BO88" s="109">
        <f t="shared" ref="BO88:CX88" si="23">$C52*BP52</f>
        <v>0</v>
      </c>
      <c r="BP88" s="109">
        <f t="shared" si="23"/>
        <v>0</v>
      </c>
      <c r="BQ88" s="109">
        <f t="shared" si="23"/>
        <v>0</v>
      </c>
      <c r="BR88" s="109">
        <f t="shared" si="23"/>
        <v>0</v>
      </c>
      <c r="BS88" s="109">
        <f t="shared" si="23"/>
        <v>0</v>
      </c>
      <c r="BT88" s="109">
        <f t="shared" si="23"/>
        <v>0</v>
      </c>
      <c r="BU88" s="109">
        <f t="shared" si="23"/>
        <v>0</v>
      </c>
      <c r="BV88" s="109">
        <f t="shared" si="23"/>
        <v>0</v>
      </c>
      <c r="BW88" s="109">
        <f t="shared" si="23"/>
        <v>0</v>
      </c>
      <c r="BX88" s="109">
        <f t="shared" si="23"/>
        <v>0</v>
      </c>
      <c r="BY88" s="109">
        <f t="shared" si="23"/>
        <v>0</v>
      </c>
      <c r="BZ88" s="109">
        <f t="shared" si="23"/>
        <v>0</v>
      </c>
      <c r="CA88" s="109">
        <f t="shared" si="23"/>
        <v>0</v>
      </c>
      <c r="CB88" s="109">
        <f t="shared" si="23"/>
        <v>0</v>
      </c>
      <c r="CC88" s="109">
        <f t="shared" si="23"/>
        <v>0</v>
      </c>
      <c r="CD88" s="109">
        <f t="shared" si="23"/>
        <v>0</v>
      </c>
      <c r="CE88" s="109">
        <f t="shared" si="23"/>
        <v>0</v>
      </c>
      <c r="CF88" s="109">
        <f t="shared" si="23"/>
        <v>0</v>
      </c>
      <c r="CG88" s="109">
        <f t="shared" si="23"/>
        <v>0</v>
      </c>
      <c r="CH88" s="109">
        <f t="shared" si="23"/>
        <v>0</v>
      </c>
      <c r="CI88" s="109">
        <f t="shared" si="23"/>
        <v>0</v>
      </c>
      <c r="CJ88" s="109">
        <f t="shared" si="23"/>
        <v>0</v>
      </c>
      <c r="CK88" s="109">
        <f t="shared" si="23"/>
        <v>0</v>
      </c>
      <c r="CL88" s="109">
        <f t="shared" si="23"/>
        <v>0</v>
      </c>
      <c r="CM88" s="109">
        <f t="shared" si="23"/>
        <v>0</v>
      </c>
      <c r="CN88" s="109">
        <f t="shared" si="23"/>
        <v>0</v>
      </c>
      <c r="CO88" s="109">
        <f t="shared" si="23"/>
        <v>0</v>
      </c>
      <c r="CP88" s="109">
        <f t="shared" si="23"/>
        <v>0</v>
      </c>
      <c r="CQ88" s="109">
        <f t="shared" si="23"/>
        <v>0</v>
      </c>
      <c r="CR88" s="109">
        <f t="shared" si="23"/>
        <v>0</v>
      </c>
      <c r="CS88" s="109">
        <f t="shared" si="23"/>
        <v>0</v>
      </c>
      <c r="CT88" s="109">
        <f t="shared" si="23"/>
        <v>0</v>
      </c>
      <c r="CU88" s="109">
        <f t="shared" si="23"/>
        <v>0</v>
      </c>
      <c r="CV88" s="109">
        <f t="shared" si="23"/>
        <v>0</v>
      </c>
      <c r="CW88" s="109">
        <f t="shared" si="23"/>
        <v>0</v>
      </c>
      <c r="CX88" s="172">
        <f t="shared" si="23"/>
        <v>0</v>
      </c>
    </row>
    <row r="89" spans="1:102" ht="20" customHeight="1">
      <c r="A89" s="170">
        <f t="shared" ref="A89:A95" si="24">SUM(C89:CX89)</f>
        <v>4497044.2375653535</v>
      </c>
      <c r="B89" s="171" t="str">
        <f t="shared" si="20"/>
        <v>Buffer Storage (upstream)</v>
      </c>
      <c r="C89" s="109">
        <f t="shared" ref="C89:AH89" si="25">$C53*D53</f>
        <v>2248522.1187826768</v>
      </c>
      <c r="D89" s="109">
        <f t="shared" si="25"/>
        <v>2248522.1187826768</v>
      </c>
      <c r="E89" s="109">
        <f t="shared" si="25"/>
        <v>0</v>
      </c>
      <c r="F89" s="109">
        <f t="shared" si="25"/>
        <v>0</v>
      </c>
      <c r="G89" s="109">
        <f t="shared" si="25"/>
        <v>0</v>
      </c>
      <c r="H89" s="109">
        <f t="shared" si="25"/>
        <v>0</v>
      </c>
      <c r="I89" s="109">
        <f t="shared" si="25"/>
        <v>0</v>
      </c>
      <c r="J89" s="109">
        <f t="shared" si="25"/>
        <v>0</v>
      </c>
      <c r="K89" s="109">
        <f t="shared" si="25"/>
        <v>0</v>
      </c>
      <c r="L89" s="109">
        <f t="shared" si="25"/>
        <v>0</v>
      </c>
      <c r="M89" s="109">
        <f t="shared" si="25"/>
        <v>0</v>
      </c>
      <c r="N89" s="109">
        <f t="shared" si="25"/>
        <v>0</v>
      </c>
      <c r="O89" s="109">
        <f t="shared" si="25"/>
        <v>0</v>
      </c>
      <c r="P89" s="109">
        <f t="shared" si="25"/>
        <v>0</v>
      </c>
      <c r="Q89" s="109">
        <f t="shared" si="25"/>
        <v>0</v>
      </c>
      <c r="R89" s="109">
        <f t="shared" si="25"/>
        <v>0</v>
      </c>
      <c r="S89" s="109">
        <f t="shared" si="25"/>
        <v>0</v>
      </c>
      <c r="T89" s="109">
        <f t="shared" si="25"/>
        <v>0</v>
      </c>
      <c r="U89" s="109">
        <f t="shared" si="25"/>
        <v>0</v>
      </c>
      <c r="V89" s="109">
        <f t="shared" si="25"/>
        <v>0</v>
      </c>
      <c r="W89" s="109">
        <f t="shared" si="25"/>
        <v>0</v>
      </c>
      <c r="X89" s="109">
        <f t="shared" si="25"/>
        <v>0</v>
      </c>
      <c r="Y89" s="109">
        <f t="shared" si="25"/>
        <v>0</v>
      </c>
      <c r="Z89" s="109">
        <f t="shared" si="25"/>
        <v>0</v>
      </c>
      <c r="AA89" s="109">
        <f t="shared" si="25"/>
        <v>0</v>
      </c>
      <c r="AB89" s="109">
        <f t="shared" si="25"/>
        <v>0</v>
      </c>
      <c r="AC89" s="109">
        <f t="shared" si="25"/>
        <v>0</v>
      </c>
      <c r="AD89" s="109">
        <f t="shared" si="25"/>
        <v>0</v>
      </c>
      <c r="AE89" s="109">
        <f t="shared" si="25"/>
        <v>0</v>
      </c>
      <c r="AF89" s="109">
        <f t="shared" si="25"/>
        <v>0</v>
      </c>
      <c r="AG89" s="109">
        <f t="shared" si="25"/>
        <v>0</v>
      </c>
      <c r="AH89" s="109">
        <f t="shared" si="25"/>
        <v>0</v>
      </c>
      <c r="AI89" s="109">
        <f t="shared" ref="AI89:BN89" si="26">$C53*AJ53</f>
        <v>0</v>
      </c>
      <c r="AJ89" s="109">
        <f t="shared" si="26"/>
        <v>0</v>
      </c>
      <c r="AK89" s="109">
        <f t="shared" si="26"/>
        <v>0</v>
      </c>
      <c r="AL89" s="109">
        <f t="shared" si="26"/>
        <v>0</v>
      </c>
      <c r="AM89" s="109">
        <f t="shared" si="26"/>
        <v>0</v>
      </c>
      <c r="AN89" s="109">
        <f t="shared" si="26"/>
        <v>0</v>
      </c>
      <c r="AO89" s="109">
        <f t="shared" si="26"/>
        <v>0</v>
      </c>
      <c r="AP89" s="109">
        <f t="shared" si="26"/>
        <v>0</v>
      </c>
      <c r="AQ89" s="109">
        <f t="shared" si="26"/>
        <v>0</v>
      </c>
      <c r="AR89" s="109">
        <f t="shared" si="26"/>
        <v>0</v>
      </c>
      <c r="AS89" s="109">
        <f t="shared" si="26"/>
        <v>0</v>
      </c>
      <c r="AT89" s="109">
        <f t="shared" si="26"/>
        <v>0</v>
      </c>
      <c r="AU89" s="109">
        <f t="shared" si="26"/>
        <v>0</v>
      </c>
      <c r="AV89" s="109">
        <f t="shared" si="26"/>
        <v>0</v>
      </c>
      <c r="AW89" s="109">
        <f t="shared" si="26"/>
        <v>0</v>
      </c>
      <c r="AX89" s="109">
        <f t="shared" si="26"/>
        <v>0</v>
      </c>
      <c r="AY89" s="109">
        <f t="shared" si="26"/>
        <v>0</v>
      </c>
      <c r="AZ89" s="109">
        <f t="shared" si="26"/>
        <v>0</v>
      </c>
      <c r="BA89" s="109">
        <f t="shared" si="26"/>
        <v>0</v>
      </c>
      <c r="BB89" s="109">
        <f t="shared" si="26"/>
        <v>0</v>
      </c>
      <c r="BC89" s="109">
        <f t="shared" si="26"/>
        <v>0</v>
      </c>
      <c r="BD89" s="109">
        <f t="shared" si="26"/>
        <v>0</v>
      </c>
      <c r="BE89" s="109">
        <f t="shared" si="26"/>
        <v>0</v>
      </c>
      <c r="BF89" s="109">
        <f t="shared" si="26"/>
        <v>0</v>
      </c>
      <c r="BG89" s="109">
        <f t="shared" si="26"/>
        <v>0</v>
      </c>
      <c r="BH89" s="109">
        <f t="shared" si="26"/>
        <v>0</v>
      </c>
      <c r="BI89" s="109">
        <f t="shared" si="26"/>
        <v>0</v>
      </c>
      <c r="BJ89" s="109">
        <f t="shared" si="26"/>
        <v>0</v>
      </c>
      <c r="BK89" s="109">
        <f t="shared" si="26"/>
        <v>0</v>
      </c>
      <c r="BL89" s="109">
        <f t="shared" si="26"/>
        <v>0</v>
      </c>
      <c r="BM89" s="109">
        <f t="shared" si="26"/>
        <v>0</v>
      </c>
      <c r="BN89" s="109">
        <f t="shared" si="26"/>
        <v>0</v>
      </c>
      <c r="BO89" s="109">
        <f t="shared" ref="BO89:CX89" si="27">$C53*BP53</f>
        <v>0</v>
      </c>
      <c r="BP89" s="109">
        <f t="shared" si="27"/>
        <v>0</v>
      </c>
      <c r="BQ89" s="109">
        <f t="shared" si="27"/>
        <v>0</v>
      </c>
      <c r="BR89" s="109">
        <f t="shared" si="27"/>
        <v>0</v>
      </c>
      <c r="BS89" s="109">
        <f t="shared" si="27"/>
        <v>0</v>
      </c>
      <c r="BT89" s="109">
        <f t="shared" si="27"/>
        <v>0</v>
      </c>
      <c r="BU89" s="109">
        <f t="shared" si="27"/>
        <v>0</v>
      </c>
      <c r="BV89" s="109">
        <f t="shared" si="27"/>
        <v>0</v>
      </c>
      <c r="BW89" s="109">
        <f t="shared" si="27"/>
        <v>0</v>
      </c>
      <c r="BX89" s="109">
        <f t="shared" si="27"/>
        <v>0</v>
      </c>
      <c r="BY89" s="109">
        <f t="shared" si="27"/>
        <v>0</v>
      </c>
      <c r="BZ89" s="109">
        <f t="shared" si="27"/>
        <v>0</v>
      </c>
      <c r="CA89" s="109">
        <f t="shared" si="27"/>
        <v>0</v>
      </c>
      <c r="CB89" s="109">
        <f t="shared" si="27"/>
        <v>0</v>
      </c>
      <c r="CC89" s="109">
        <f t="shared" si="27"/>
        <v>0</v>
      </c>
      <c r="CD89" s="109">
        <f t="shared" si="27"/>
        <v>0</v>
      </c>
      <c r="CE89" s="109">
        <f t="shared" si="27"/>
        <v>0</v>
      </c>
      <c r="CF89" s="109">
        <f t="shared" si="27"/>
        <v>0</v>
      </c>
      <c r="CG89" s="109">
        <f t="shared" si="27"/>
        <v>0</v>
      </c>
      <c r="CH89" s="109">
        <f t="shared" si="27"/>
        <v>0</v>
      </c>
      <c r="CI89" s="109">
        <f t="shared" si="27"/>
        <v>0</v>
      </c>
      <c r="CJ89" s="109">
        <f t="shared" si="27"/>
        <v>0</v>
      </c>
      <c r="CK89" s="109">
        <f t="shared" si="27"/>
        <v>0</v>
      </c>
      <c r="CL89" s="109">
        <f t="shared" si="27"/>
        <v>0</v>
      </c>
      <c r="CM89" s="109">
        <f t="shared" si="27"/>
        <v>0</v>
      </c>
      <c r="CN89" s="109">
        <f t="shared" si="27"/>
        <v>0</v>
      </c>
      <c r="CO89" s="109">
        <f t="shared" si="27"/>
        <v>0</v>
      </c>
      <c r="CP89" s="109">
        <f t="shared" si="27"/>
        <v>0</v>
      </c>
      <c r="CQ89" s="109">
        <f t="shared" si="27"/>
        <v>0</v>
      </c>
      <c r="CR89" s="109">
        <f t="shared" si="27"/>
        <v>0</v>
      </c>
      <c r="CS89" s="109">
        <f t="shared" si="27"/>
        <v>0</v>
      </c>
      <c r="CT89" s="109">
        <f t="shared" si="27"/>
        <v>0</v>
      </c>
      <c r="CU89" s="109">
        <f t="shared" si="27"/>
        <v>0</v>
      </c>
      <c r="CV89" s="109">
        <f t="shared" si="27"/>
        <v>0</v>
      </c>
      <c r="CW89" s="109">
        <f t="shared" si="27"/>
        <v>0</v>
      </c>
      <c r="CX89" s="172">
        <f t="shared" si="27"/>
        <v>0</v>
      </c>
    </row>
    <row r="90" spans="1:102" ht="20" customHeight="1">
      <c r="A90" s="170">
        <f t="shared" si="24"/>
        <v>14047174.971499998</v>
      </c>
      <c r="B90" s="171" t="str">
        <f>B54</f>
        <v>Trucks</v>
      </c>
      <c r="C90" s="109">
        <f t="shared" ref="C90:AH90" si="28">$C54*D54</f>
        <v>0</v>
      </c>
      <c r="D90" s="109">
        <f t="shared" si="28"/>
        <v>14047174.971499998</v>
      </c>
      <c r="E90" s="109">
        <f t="shared" si="28"/>
        <v>0</v>
      </c>
      <c r="F90" s="109">
        <f t="shared" si="28"/>
        <v>0</v>
      </c>
      <c r="G90" s="109">
        <f t="shared" si="28"/>
        <v>0</v>
      </c>
      <c r="H90" s="109">
        <f t="shared" si="28"/>
        <v>0</v>
      </c>
      <c r="I90" s="109">
        <f t="shared" si="28"/>
        <v>0</v>
      </c>
      <c r="J90" s="109">
        <f t="shared" si="28"/>
        <v>0</v>
      </c>
      <c r="K90" s="109">
        <f t="shared" si="28"/>
        <v>0</v>
      </c>
      <c r="L90" s="109">
        <f t="shared" si="28"/>
        <v>0</v>
      </c>
      <c r="M90" s="109">
        <f t="shared" si="28"/>
        <v>0</v>
      </c>
      <c r="N90" s="109">
        <f t="shared" si="28"/>
        <v>0</v>
      </c>
      <c r="O90" s="109">
        <f t="shared" si="28"/>
        <v>0</v>
      </c>
      <c r="P90" s="109">
        <f t="shared" si="28"/>
        <v>0</v>
      </c>
      <c r="Q90" s="109">
        <f t="shared" si="28"/>
        <v>0</v>
      </c>
      <c r="R90" s="109">
        <f t="shared" si="28"/>
        <v>0</v>
      </c>
      <c r="S90" s="109">
        <f t="shared" si="28"/>
        <v>0</v>
      </c>
      <c r="T90" s="109">
        <f t="shared" si="28"/>
        <v>0</v>
      </c>
      <c r="U90" s="109">
        <f t="shared" si="28"/>
        <v>0</v>
      </c>
      <c r="V90" s="109">
        <f t="shared" si="28"/>
        <v>0</v>
      </c>
      <c r="W90" s="109">
        <f t="shared" si="28"/>
        <v>0</v>
      </c>
      <c r="X90" s="109">
        <f t="shared" si="28"/>
        <v>0</v>
      </c>
      <c r="Y90" s="109">
        <f t="shared" si="28"/>
        <v>0</v>
      </c>
      <c r="Z90" s="109">
        <f t="shared" si="28"/>
        <v>0</v>
      </c>
      <c r="AA90" s="109">
        <f t="shared" si="28"/>
        <v>0</v>
      </c>
      <c r="AB90" s="109">
        <f t="shared" si="28"/>
        <v>0</v>
      </c>
      <c r="AC90" s="109">
        <f t="shared" si="28"/>
        <v>0</v>
      </c>
      <c r="AD90" s="109">
        <f t="shared" si="28"/>
        <v>0</v>
      </c>
      <c r="AE90" s="109">
        <f t="shared" si="28"/>
        <v>0</v>
      </c>
      <c r="AF90" s="109">
        <f t="shared" si="28"/>
        <v>0</v>
      </c>
      <c r="AG90" s="109">
        <f t="shared" si="28"/>
        <v>0</v>
      </c>
      <c r="AH90" s="109">
        <f t="shared" si="28"/>
        <v>0</v>
      </c>
      <c r="AI90" s="109">
        <f t="shared" ref="AI90:BN90" si="29">$C54*AJ54</f>
        <v>0</v>
      </c>
      <c r="AJ90" s="109">
        <f t="shared" si="29"/>
        <v>0</v>
      </c>
      <c r="AK90" s="109">
        <f t="shared" si="29"/>
        <v>0</v>
      </c>
      <c r="AL90" s="109">
        <f t="shared" si="29"/>
        <v>0</v>
      </c>
      <c r="AM90" s="109">
        <f t="shared" si="29"/>
        <v>0</v>
      </c>
      <c r="AN90" s="109">
        <f t="shared" si="29"/>
        <v>0</v>
      </c>
      <c r="AO90" s="109">
        <f t="shared" si="29"/>
        <v>0</v>
      </c>
      <c r="AP90" s="109">
        <f t="shared" si="29"/>
        <v>0</v>
      </c>
      <c r="AQ90" s="109">
        <f t="shared" si="29"/>
        <v>0</v>
      </c>
      <c r="AR90" s="109">
        <f t="shared" si="29"/>
        <v>0</v>
      </c>
      <c r="AS90" s="109">
        <f t="shared" si="29"/>
        <v>0</v>
      </c>
      <c r="AT90" s="109">
        <f t="shared" si="29"/>
        <v>0</v>
      </c>
      <c r="AU90" s="109">
        <f t="shared" si="29"/>
        <v>0</v>
      </c>
      <c r="AV90" s="109">
        <f t="shared" si="29"/>
        <v>0</v>
      </c>
      <c r="AW90" s="109">
        <f t="shared" si="29"/>
        <v>0</v>
      </c>
      <c r="AX90" s="109">
        <f t="shared" si="29"/>
        <v>0</v>
      </c>
      <c r="AY90" s="109">
        <f t="shared" si="29"/>
        <v>0</v>
      </c>
      <c r="AZ90" s="109">
        <f t="shared" si="29"/>
        <v>0</v>
      </c>
      <c r="BA90" s="109">
        <f t="shared" si="29"/>
        <v>0</v>
      </c>
      <c r="BB90" s="109">
        <f t="shared" si="29"/>
        <v>0</v>
      </c>
      <c r="BC90" s="109">
        <f t="shared" si="29"/>
        <v>0</v>
      </c>
      <c r="BD90" s="109">
        <f t="shared" si="29"/>
        <v>0</v>
      </c>
      <c r="BE90" s="109">
        <f t="shared" si="29"/>
        <v>0</v>
      </c>
      <c r="BF90" s="109">
        <f t="shared" si="29"/>
        <v>0</v>
      </c>
      <c r="BG90" s="109">
        <f t="shared" si="29"/>
        <v>0</v>
      </c>
      <c r="BH90" s="109">
        <f t="shared" si="29"/>
        <v>0</v>
      </c>
      <c r="BI90" s="109">
        <f t="shared" si="29"/>
        <v>0</v>
      </c>
      <c r="BJ90" s="109">
        <f t="shared" si="29"/>
        <v>0</v>
      </c>
      <c r="BK90" s="109">
        <f t="shared" si="29"/>
        <v>0</v>
      </c>
      <c r="BL90" s="109">
        <f t="shared" si="29"/>
        <v>0</v>
      </c>
      <c r="BM90" s="109">
        <f t="shared" si="29"/>
        <v>0</v>
      </c>
      <c r="BN90" s="109">
        <f t="shared" si="29"/>
        <v>0</v>
      </c>
      <c r="BO90" s="109">
        <f t="shared" ref="BO90:CX90" si="30">$C54*BP54</f>
        <v>0</v>
      </c>
      <c r="BP90" s="109">
        <f t="shared" si="30"/>
        <v>0</v>
      </c>
      <c r="BQ90" s="109">
        <f t="shared" si="30"/>
        <v>0</v>
      </c>
      <c r="BR90" s="109">
        <f t="shared" si="30"/>
        <v>0</v>
      </c>
      <c r="BS90" s="109">
        <f t="shared" si="30"/>
        <v>0</v>
      </c>
      <c r="BT90" s="109">
        <f t="shared" si="30"/>
        <v>0</v>
      </c>
      <c r="BU90" s="109">
        <f t="shared" si="30"/>
        <v>0</v>
      </c>
      <c r="BV90" s="109">
        <f t="shared" si="30"/>
        <v>0</v>
      </c>
      <c r="BW90" s="109">
        <f t="shared" si="30"/>
        <v>0</v>
      </c>
      <c r="BX90" s="109">
        <f t="shared" si="30"/>
        <v>0</v>
      </c>
      <c r="BY90" s="109">
        <f t="shared" si="30"/>
        <v>0</v>
      </c>
      <c r="BZ90" s="109">
        <f t="shared" si="30"/>
        <v>0</v>
      </c>
      <c r="CA90" s="109">
        <f t="shared" si="30"/>
        <v>0</v>
      </c>
      <c r="CB90" s="109">
        <f t="shared" si="30"/>
        <v>0</v>
      </c>
      <c r="CC90" s="109">
        <f t="shared" si="30"/>
        <v>0</v>
      </c>
      <c r="CD90" s="109">
        <f t="shared" si="30"/>
        <v>0</v>
      </c>
      <c r="CE90" s="109">
        <f t="shared" si="30"/>
        <v>0</v>
      </c>
      <c r="CF90" s="109">
        <f t="shared" si="30"/>
        <v>0</v>
      </c>
      <c r="CG90" s="109">
        <f t="shared" si="30"/>
        <v>0</v>
      </c>
      <c r="CH90" s="109">
        <f t="shared" si="30"/>
        <v>0</v>
      </c>
      <c r="CI90" s="109">
        <f t="shared" si="30"/>
        <v>0</v>
      </c>
      <c r="CJ90" s="109">
        <f t="shared" si="30"/>
        <v>0</v>
      </c>
      <c r="CK90" s="109">
        <f t="shared" si="30"/>
        <v>0</v>
      </c>
      <c r="CL90" s="109">
        <f t="shared" si="30"/>
        <v>0</v>
      </c>
      <c r="CM90" s="109">
        <f t="shared" si="30"/>
        <v>0</v>
      </c>
      <c r="CN90" s="109">
        <f t="shared" si="30"/>
        <v>0</v>
      </c>
      <c r="CO90" s="109">
        <f t="shared" si="30"/>
        <v>0</v>
      </c>
      <c r="CP90" s="109">
        <f t="shared" si="30"/>
        <v>0</v>
      </c>
      <c r="CQ90" s="109">
        <f t="shared" si="30"/>
        <v>0</v>
      </c>
      <c r="CR90" s="109">
        <f t="shared" si="30"/>
        <v>0</v>
      </c>
      <c r="CS90" s="109">
        <f t="shared" si="30"/>
        <v>0</v>
      </c>
      <c r="CT90" s="109">
        <f t="shared" si="30"/>
        <v>0</v>
      </c>
      <c r="CU90" s="109">
        <f t="shared" si="30"/>
        <v>0</v>
      </c>
      <c r="CV90" s="109">
        <f t="shared" si="30"/>
        <v>0</v>
      </c>
      <c r="CW90" s="109">
        <f t="shared" si="30"/>
        <v>0</v>
      </c>
      <c r="CX90" s="172">
        <f t="shared" si="30"/>
        <v>0</v>
      </c>
    </row>
    <row r="91" spans="1:102" ht="20" customHeight="1">
      <c r="A91" s="170">
        <f t="shared" si="24"/>
        <v>0</v>
      </c>
      <c r="B91" s="171" t="str">
        <f t="shared" si="20"/>
        <v>Flatbed Trailers</v>
      </c>
      <c r="C91" s="109">
        <f t="shared" ref="C91:AH91" si="31">$C55*D55</f>
        <v>0</v>
      </c>
      <c r="D91" s="109">
        <f t="shared" si="31"/>
        <v>0</v>
      </c>
      <c r="E91" s="109">
        <f t="shared" si="31"/>
        <v>0</v>
      </c>
      <c r="F91" s="109">
        <f t="shared" si="31"/>
        <v>0</v>
      </c>
      <c r="G91" s="109">
        <f t="shared" si="31"/>
        <v>0</v>
      </c>
      <c r="H91" s="109">
        <f t="shared" si="31"/>
        <v>0</v>
      </c>
      <c r="I91" s="109">
        <f t="shared" si="31"/>
        <v>0</v>
      </c>
      <c r="J91" s="109">
        <f t="shared" si="31"/>
        <v>0</v>
      </c>
      <c r="K91" s="109">
        <f t="shared" si="31"/>
        <v>0</v>
      </c>
      <c r="L91" s="109">
        <f t="shared" si="31"/>
        <v>0</v>
      </c>
      <c r="M91" s="109">
        <f t="shared" si="31"/>
        <v>0</v>
      </c>
      <c r="N91" s="109">
        <f t="shared" si="31"/>
        <v>0</v>
      </c>
      <c r="O91" s="109">
        <f t="shared" si="31"/>
        <v>0</v>
      </c>
      <c r="P91" s="109">
        <f t="shared" si="31"/>
        <v>0</v>
      </c>
      <c r="Q91" s="109">
        <f t="shared" si="31"/>
        <v>0</v>
      </c>
      <c r="R91" s="109">
        <f t="shared" si="31"/>
        <v>0</v>
      </c>
      <c r="S91" s="109">
        <f t="shared" si="31"/>
        <v>0</v>
      </c>
      <c r="T91" s="109">
        <f t="shared" si="31"/>
        <v>0</v>
      </c>
      <c r="U91" s="109">
        <f t="shared" si="31"/>
        <v>0</v>
      </c>
      <c r="V91" s="109">
        <f t="shared" si="31"/>
        <v>0</v>
      </c>
      <c r="W91" s="109">
        <f t="shared" si="31"/>
        <v>0</v>
      </c>
      <c r="X91" s="109">
        <f t="shared" si="31"/>
        <v>0</v>
      </c>
      <c r="Y91" s="109">
        <f t="shared" si="31"/>
        <v>0</v>
      </c>
      <c r="Z91" s="109">
        <f t="shared" si="31"/>
        <v>0</v>
      </c>
      <c r="AA91" s="109">
        <f t="shared" si="31"/>
        <v>0</v>
      </c>
      <c r="AB91" s="109">
        <f t="shared" si="31"/>
        <v>0</v>
      </c>
      <c r="AC91" s="109">
        <f t="shared" si="31"/>
        <v>0</v>
      </c>
      <c r="AD91" s="109">
        <f t="shared" si="31"/>
        <v>0</v>
      </c>
      <c r="AE91" s="109">
        <f t="shared" si="31"/>
        <v>0</v>
      </c>
      <c r="AF91" s="109">
        <f t="shared" si="31"/>
        <v>0</v>
      </c>
      <c r="AG91" s="109">
        <f t="shared" si="31"/>
        <v>0</v>
      </c>
      <c r="AH91" s="109">
        <f t="shared" si="31"/>
        <v>0</v>
      </c>
      <c r="AI91" s="109">
        <f t="shared" ref="AI91:BN91" si="32">$C55*AJ55</f>
        <v>0</v>
      </c>
      <c r="AJ91" s="109">
        <f t="shared" si="32"/>
        <v>0</v>
      </c>
      <c r="AK91" s="109">
        <f t="shared" si="32"/>
        <v>0</v>
      </c>
      <c r="AL91" s="109">
        <f t="shared" si="32"/>
        <v>0</v>
      </c>
      <c r="AM91" s="109">
        <f t="shared" si="32"/>
        <v>0</v>
      </c>
      <c r="AN91" s="109">
        <f t="shared" si="32"/>
        <v>0</v>
      </c>
      <c r="AO91" s="109">
        <f t="shared" si="32"/>
        <v>0</v>
      </c>
      <c r="AP91" s="109">
        <f t="shared" si="32"/>
        <v>0</v>
      </c>
      <c r="AQ91" s="109">
        <f t="shared" si="32"/>
        <v>0</v>
      </c>
      <c r="AR91" s="109">
        <f t="shared" si="32"/>
        <v>0</v>
      </c>
      <c r="AS91" s="109">
        <f t="shared" si="32"/>
        <v>0</v>
      </c>
      <c r="AT91" s="109">
        <f t="shared" si="32"/>
        <v>0</v>
      </c>
      <c r="AU91" s="109">
        <f t="shared" si="32"/>
        <v>0</v>
      </c>
      <c r="AV91" s="109">
        <f t="shared" si="32"/>
        <v>0</v>
      </c>
      <c r="AW91" s="109">
        <f t="shared" si="32"/>
        <v>0</v>
      </c>
      <c r="AX91" s="109">
        <f t="shared" si="32"/>
        <v>0</v>
      </c>
      <c r="AY91" s="109">
        <f t="shared" si="32"/>
        <v>0</v>
      </c>
      <c r="AZ91" s="109">
        <f t="shared" si="32"/>
        <v>0</v>
      </c>
      <c r="BA91" s="109">
        <f t="shared" si="32"/>
        <v>0</v>
      </c>
      <c r="BB91" s="109">
        <f t="shared" si="32"/>
        <v>0</v>
      </c>
      <c r="BC91" s="109">
        <f t="shared" si="32"/>
        <v>0</v>
      </c>
      <c r="BD91" s="109">
        <f t="shared" si="32"/>
        <v>0</v>
      </c>
      <c r="BE91" s="109">
        <f t="shared" si="32"/>
        <v>0</v>
      </c>
      <c r="BF91" s="109">
        <f t="shared" si="32"/>
        <v>0</v>
      </c>
      <c r="BG91" s="109">
        <f t="shared" si="32"/>
        <v>0</v>
      </c>
      <c r="BH91" s="109">
        <f t="shared" si="32"/>
        <v>0</v>
      </c>
      <c r="BI91" s="109">
        <f t="shared" si="32"/>
        <v>0</v>
      </c>
      <c r="BJ91" s="109">
        <f t="shared" si="32"/>
        <v>0</v>
      </c>
      <c r="BK91" s="109">
        <f t="shared" si="32"/>
        <v>0</v>
      </c>
      <c r="BL91" s="109">
        <f t="shared" si="32"/>
        <v>0</v>
      </c>
      <c r="BM91" s="109">
        <f t="shared" si="32"/>
        <v>0</v>
      </c>
      <c r="BN91" s="109">
        <f t="shared" si="32"/>
        <v>0</v>
      </c>
      <c r="BO91" s="109">
        <f t="shared" ref="BO91:CX91" si="33">$C55*BP55</f>
        <v>0</v>
      </c>
      <c r="BP91" s="109">
        <f t="shared" si="33"/>
        <v>0</v>
      </c>
      <c r="BQ91" s="109">
        <f t="shared" si="33"/>
        <v>0</v>
      </c>
      <c r="BR91" s="109">
        <f t="shared" si="33"/>
        <v>0</v>
      </c>
      <c r="BS91" s="109">
        <f t="shared" si="33"/>
        <v>0</v>
      </c>
      <c r="BT91" s="109">
        <f t="shared" si="33"/>
        <v>0</v>
      </c>
      <c r="BU91" s="109">
        <f t="shared" si="33"/>
        <v>0</v>
      </c>
      <c r="BV91" s="109">
        <f t="shared" si="33"/>
        <v>0</v>
      </c>
      <c r="BW91" s="109">
        <f t="shared" si="33"/>
        <v>0</v>
      </c>
      <c r="BX91" s="109">
        <f t="shared" si="33"/>
        <v>0</v>
      </c>
      <c r="BY91" s="109">
        <f t="shared" si="33"/>
        <v>0</v>
      </c>
      <c r="BZ91" s="109">
        <f t="shared" si="33"/>
        <v>0</v>
      </c>
      <c r="CA91" s="109">
        <f t="shared" si="33"/>
        <v>0</v>
      </c>
      <c r="CB91" s="109">
        <f t="shared" si="33"/>
        <v>0</v>
      </c>
      <c r="CC91" s="109">
        <f t="shared" si="33"/>
        <v>0</v>
      </c>
      <c r="CD91" s="109">
        <f t="shared" si="33"/>
        <v>0</v>
      </c>
      <c r="CE91" s="109">
        <f t="shared" si="33"/>
        <v>0</v>
      </c>
      <c r="CF91" s="109">
        <f t="shared" si="33"/>
        <v>0</v>
      </c>
      <c r="CG91" s="109">
        <f t="shared" si="33"/>
        <v>0</v>
      </c>
      <c r="CH91" s="109">
        <f t="shared" si="33"/>
        <v>0</v>
      </c>
      <c r="CI91" s="109">
        <f t="shared" si="33"/>
        <v>0</v>
      </c>
      <c r="CJ91" s="109">
        <f t="shared" si="33"/>
        <v>0</v>
      </c>
      <c r="CK91" s="109">
        <f t="shared" si="33"/>
        <v>0</v>
      </c>
      <c r="CL91" s="109">
        <f t="shared" si="33"/>
        <v>0</v>
      </c>
      <c r="CM91" s="109">
        <f t="shared" si="33"/>
        <v>0</v>
      </c>
      <c r="CN91" s="109">
        <f t="shared" si="33"/>
        <v>0</v>
      </c>
      <c r="CO91" s="109">
        <f t="shared" si="33"/>
        <v>0</v>
      </c>
      <c r="CP91" s="109">
        <f t="shared" si="33"/>
        <v>0</v>
      </c>
      <c r="CQ91" s="109">
        <f t="shared" si="33"/>
        <v>0</v>
      </c>
      <c r="CR91" s="109">
        <f t="shared" si="33"/>
        <v>0</v>
      </c>
      <c r="CS91" s="109">
        <f t="shared" si="33"/>
        <v>0</v>
      </c>
      <c r="CT91" s="109">
        <f t="shared" si="33"/>
        <v>0</v>
      </c>
      <c r="CU91" s="109">
        <f t="shared" si="33"/>
        <v>0</v>
      </c>
      <c r="CV91" s="109">
        <f t="shared" si="33"/>
        <v>0</v>
      </c>
      <c r="CW91" s="109">
        <f t="shared" si="33"/>
        <v>0</v>
      </c>
      <c r="CX91" s="172">
        <f t="shared" si="33"/>
        <v>0</v>
      </c>
    </row>
    <row r="92" spans="1:102" ht="20" customHeight="1">
      <c r="A92" s="170">
        <f t="shared" si="24"/>
        <v>3980052.299272499</v>
      </c>
      <c r="B92" s="171" t="str">
        <f t="shared" si="20"/>
        <v>LCO2 Containers</v>
      </c>
      <c r="C92" s="109">
        <f t="shared" ref="C92:AH92" si="34">$C56*D56</f>
        <v>0</v>
      </c>
      <c r="D92" s="109">
        <f t="shared" si="34"/>
        <v>3980052.299272499</v>
      </c>
      <c r="E92" s="109">
        <f t="shared" si="34"/>
        <v>0</v>
      </c>
      <c r="F92" s="109">
        <f t="shared" si="34"/>
        <v>0</v>
      </c>
      <c r="G92" s="109">
        <f t="shared" si="34"/>
        <v>0</v>
      </c>
      <c r="H92" s="109">
        <f t="shared" si="34"/>
        <v>0</v>
      </c>
      <c r="I92" s="109">
        <f t="shared" si="34"/>
        <v>0</v>
      </c>
      <c r="J92" s="109">
        <f t="shared" si="34"/>
        <v>0</v>
      </c>
      <c r="K92" s="109">
        <f t="shared" si="34"/>
        <v>0</v>
      </c>
      <c r="L92" s="109">
        <f t="shared" si="34"/>
        <v>0</v>
      </c>
      <c r="M92" s="109">
        <f t="shared" si="34"/>
        <v>0</v>
      </c>
      <c r="N92" s="109">
        <f t="shared" si="34"/>
        <v>0</v>
      </c>
      <c r="O92" s="109">
        <f t="shared" si="34"/>
        <v>0</v>
      </c>
      <c r="P92" s="109">
        <f t="shared" si="34"/>
        <v>0</v>
      </c>
      <c r="Q92" s="109">
        <f t="shared" si="34"/>
        <v>0</v>
      </c>
      <c r="R92" s="109">
        <f t="shared" si="34"/>
        <v>0</v>
      </c>
      <c r="S92" s="109">
        <f t="shared" si="34"/>
        <v>0</v>
      </c>
      <c r="T92" s="109">
        <f t="shared" si="34"/>
        <v>0</v>
      </c>
      <c r="U92" s="109">
        <f t="shared" si="34"/>
        <v>0</v>
      </c>
      <c r="V92" s="109">
        <f t="shared" si="34"/>
        <v>0</v>
      </c>
      <c r="W92" s="109">
        <f t="shared" si="34"/>
        <v>0</v>
      </c>
      <c r="X92" s="109">
        <f t="shared" si="34"/>
        <v>0</v>
      </c>
      <c r="Y92" s="109">
        <f t="shared" si="34"/>
        <v>0</v>
      </c>
      <c r="Z92" s="109">
        <f t="shared" si="34"/>
        <v>0</v>
      </c>
      <c r="AA92" s="109">
        <f t="shared" si="34"/>
        <v>0</v>
      </c>
      <c r="AB92" s="109">
        <f t="shared" si="34"/>
        <v>0</v>
      </c>
      <c r="AC92" s="109">
        <f t="shared" si="34"/>
        <v>0</v>
      </c>
      <c r="AD92" s="109">
        <f t="shared" si="34"/>
        <v>0</v>
      </c>
      <c r="AE92" s="109">
        <f t="shared" si="34"/>
        <v>0</v>
      </c>
      <c r="AF92" s="109">
        <f t="shared" si="34"/>
        <v>0</v>
      </c>
      <c r="AG92" s="109">
        <f t="shared" si="34"/>
        <v>0</v>
      </c>
      <c r="AH92" s="109">
        <f t="shared" si="34"/>
        <v>0</v>
      </c>
      <c r="AI92" s="109">
        <f t="shared" ref="AI92:BN92" si="35">$C56*AJ56</f>
        <v>0</v>
      </c>
      <c r="AJ92" s="109">
        <f t="shared" si="35"/>
        <v>0</v>
      </c>
      <c r="AK92" s="109">
        <f t="shared" si="35"/>
        <v>0</v>
      </c>
      <c r="AL92" s="109">
        <f t="shared" si="35"/>
        <v>0</v>
      </c>
      <c r="AM92" s="109">
        <f t="shared" si="35"/>
        <v>0</v>
      </c>
      <c r="AN92" s="109">
        <f t="shared" si="35"/>
        <v>0</v>
      </c>
      <c r="AO92" s="109">
        <f t="shared" si="35"/>
        <v>0</v>
      </c>
      <c r="AP92" s="109">
        <f t="shared" si="35"/>
        <v>0</v>
      </c>
      <c r="AQ92" s="109">
        <f t="shared" si="35"/>
        <v>0</v>
      </c>
      <c r="AR92" s="109">
        <f t="shared" si="35"/>
        <v>0</v>
      </c>
      <c r="AS92" s="109">
        <f t="shared" si="35"/>
        <v>0</v>
      </c>
      <c r="AT92" s="109">
        <f t="shared" si="35"/>
        <v>0</v>
      </c>
      <c r="AU92" s="109">
        <f t="shared" si="35"/>
        <v>0</v>
      </c>
      <c r="AV92" s="109">
        <f t="shared" si="35"/>
        <v>0</v>
      </c>
      <c r="AW92" s="109">
        <f t="shared" si="35"/>
        <v>0</v>
      </c>
      <c r="AX92" s="109">
        <f t="shared" si="35"/>
        <v>0</v>
      </c>
      <c r="AY92" s="109">
        <f t="shared" si="35"/>
        <v>0</v>
      </c>
      <c r="AZ92" s="109">
        <f t="shared" si="35"/>
        <v>0</v>
      </c>
      <c r="BA92" s="109">
        <f t="shared" si="35"/>
        <v>0</v>
      </c>
      <c r="BB92" s="109">
        <f t="shared" si="35"/>
        <v>0</v>
      </c>
      <c r="BC92" s="109">
        <f t="shared" si="35"/>
        <v>0</v>
      </c>
      <c r="BD92" s="109">
        <f t="shared" si="35"/>
        <v>0</v>
      </c>
      <c r="BE92" s="109">
        <f t="shared" si="35"/>
        <v>0</v>
      </c>
      <c r="BF92" s="109">
        <f t="shared" si="35"/>
        <v>0</v>
      </c>
      <c r="BG92" s="109">
        <f t="shared" si="35"/>
        <v>0</v>
      </c>
      <c r="BH92" s="109">
        <f t="shared" si="35"/>
        <v>0</v>
      </c>
      <c r="BI92" s="109">
        <f t="shared" si="35"/>
        <v>0</v>
      </c>
      <c r="BJ92" s="109">
        <f t="shared" si="35"/>
        <v>0</v>
      </c>
      <c r="BK92" s="109">
        <f t="shared" si="35"/>
        <v>0</v>
      </c>
      <c r="BL92" s="109">
        <f t="shared" si="35"/>
        <v>0</v>
      </c>
      <c r="BM92" s="109">
        <f t="shared" si="35"/>
        <v>0</v>
      </c>
      <c r="BN92" s="109">
        <f t="shared" si="35"/>
        <v>0</v>
      </c>
      <c r="BO92" s="109">
        <f t="shared" ref="BO92:CX92" si="36">$C56*BP56</f>
        <v>0</v>
      </c>
      <c r="BP92" s="109">
        <f t="shared" si="36"/>
        <v>0</v>
      </c>
      <c r="BQ92" s="109">
        <f t="shared" si="36"/>
        <v>0</v>
      </c>
      <c r="BR92" s="109">
        <f t="shared" si="36"/>
        <v>0</v>
      </c>
      <c r="BS92" s="109">
        <f t="shared" si="36"/>
        <v>0</v>
      </c>
      <c r="BT92" s="109">
        <f t="shared" si="36"/>
        <v>0</v>
      </c>
      <c r="BU92" s="109">
        <f t="shared" si="36"/>
        <v>0</v>
      </c>
      <c r="BV92" s="109">
        <f t="shared" si="36"/>
        <v>0</v>
      </c>
      <c r="BW92" s="109">
        <f t="shared" si="36"/>
        <v>0</v>
      </c>
      <c r="BX92" s="109">
        <f t="shared" si="36"/>
        <v>0</v>
      </c>
      <c r="BY92" s="109">
        <f t="shared" si="36"/>
        <v>0</v>
      </c>
      <c r="BZ92" s="109">
        <f t="shared" si="36"/>
        <v>0</v>
      </c>
      <c r="CA92" s="109">
        <f t="shared" si="36"/>
        <v>0</v>
      </c>
      <c r="CB92" s="109">
        <f t="shared" si="36"/>
        <v>0</v>
      </c>
      <c r="CC92" s="109">
        <f t="shared" si="36"/>
        <v>0</v>
      </c>
      <c r="CD92" s="109">
        <f t="shared" si="36"/>
        <v>0</v>
      </c>
      <c r="CE92" s="109">
        <f t="shared" si="36"/>
        <v>0</v>
      </c>
      <c r="CF92" s="109">
        <f t="shared" si="36"/>
        <v>0</v>
      </c>
      <c r="CG92" s="109">
        <f t="shared" si="36"/>
        <v>0</v>
      </c>
      <c r="CH92" s="109">
        <f t="shared" si="36"/>
        <v>0</v>
      </c>
      <c r="CI92" s="109">
        <f t="shared" si="36"/>
        <v>0</v>
      </c>
      <c r="CJ92" s="109">
        <f t="shared" si="36"/>
        <v>0</v>
      </c>
      <c r="CK92" s="109">
        <f t="shared" si="36"/>
        <v>0</v>
      </c>
      <c r="CL92" s="109">
        <f t="shared" si="36"/>
        <v>0</v>
      </c>
      <c r="CM92" s="109">
        <f t="shared" si="36"/>
        <v>0</v>
      </c>
      <c r="CN92" s="109">
        <f t="shared" si="36"/>
        <v>0</v>
      </c>
      <c r="CO92" s="109">
        <f t="shared" si="36"/>
        <v>0</v>
      </c>
      <c r="CP92" s="109">
        <f t="shared" si="36"/>
        <v>0</v>
      </c>
      <c r="CQ92" s="109">
        <f t="shared" si="36"/>
        <v>0</v>
      </c>
      <c r="CR92" s="109">
        <f t="shared" si="36"/>
        <v>0</v>
      </c>
      <c r="CS92" s="109">
        <f t="shared" si="36"/>
        <v>0</v>
      </c>
      <c r="CT92" s="109">
        <f t="shared" si="36"/>
        <v>0</v>
      </c>
      <c r="CU92" s="109">
        <f t="shared" si="36"/>
        <v>0</v>
      </c>
      <c r="CV92" s="109">
        <f t="shared" si="36"/>
        <v>0</v>
      </c>
      <c r="CW92" s="109">
        <f t="shared" si="36"/>
        <v>0</v>
      </c>
      <c r="CX92" s="172">
        <f t="shared" si="36"/>
        <v>0</v>
      </c>
    </row>
    <row r="93" spans="1:102" ht="20" customHeight="1">
      <c r="A93" s="170">
        <f t="shared" si="24"/>
        <v>0</v>
      </c>
      <c r="B93" s="171" t="str">
        <f t="shared" si="20"/>
        <v>Intermediate storage</v>
      </c>
      <c r="C93" s="109">
        <f t="shared" ref="C93:AH93" si="37">$C57*D57</f>
        <v>0</v>
      </c>
      <c r="D93" s="109">
        <f t="shared" si="37"/>
        <v>0</v>
      </c>
      <c r="E93" s="109">
        <f t="shared" si="37"/>
        <v>0</v>
      </c>
      <c r="F93" s="109">
        <f t="shared" si="37"/>
        <v>0</v>
      </c>
      <c r="G93" s="109">
        <f t="shared" si="37"/>
        <v>0</v>
      </c>
      <c r="H93" s="109">
        <f t="shared" si="37"/>
        <v>0</v>
      </c>
      <c r="I93" s="109">
        <f t="shared" si="37"/>
        <v>0</v>
      </c>
      <c r="J93" s="109">
        <f t="shared" si="37"/>
        <v>0</v>
      </c>
      <c r="K93" s="109">
        <f t="shared" si="37"/>
        <v>0</v>
      </c>
      <c r="L93" s="109">
        <f t="shared" si="37"/>
        <v>0</v>
      </c>
      <c r="M93" s="109">
        <f t="shared" si="37"/>
        <v>0</v>
      </c>
      <c r="N93" s="109">
        <f t="shared" si="37"/>
        <v>0</v>
      </c>
      <c r="O93" s="109">
        <f t="shared" si="37"/>
        <v>0</v>
      </c>
      <c r="P93" s="109">
        <f t="shared" si="37"/>
        <v>0</v>
      </c>
      <c r="Q93" s="109">
        <f t="shared" si="37"/>
        <v>0</v>
      </c>
      <c r="R93" s="109">
        <f t="shared" si="37"/>
        <v>0</v>
      </c>
      <c r="S93" s="109">
        <f t="shared" si="37"/>
        <v>0</v>
      </c>
      <c r="T93" s="109">
        <f t="shared" si="37"/>
        <v>0</v>
      </c>
      <c r="U93" s="109">
        <f t="shared" si="37"/>
        <v>0</v>
      </c>
      <c r="V93" s="109">
        <f t="shared" si="37"/>
        <v>0</v>
      </c>
      <c r="W93" s="109">
        <f t="shared" si="37"/>
        <v>0</v>
      </c>
      <c r="X93" s="109">
        <f t="shared" si="37"/>
        <v>0</v>
      </c>
      <c r="Y93" s="109">
        <f t="shared" si="37"/>
        <v>0</v>
      </c>
      <c r="Z93" s="109">
        <f t="shared" si="37"/>
        <v>0</v>
      </c>
      <c r="AA93" s="109">
        <f t="shared" si="37"/>
        <v>0</v>
      </c>
      <c r="AB93" s="109">
        <f t="shared" si="37"/>
        <v>0</v>
      </c>
      <c r="AC93" s="109">
        <f t="shared" si="37"/>
        <v>0</v>
      </c>
      <c r="AD93" s="109">
        <f t="shared" si="37"/>
        <v>0</v>
      </c>
      <c r="AE93" s="109">
        <f t="shared" si="37"/>
        <v>0</v>
      </c>
      <c r="AF93" s="109">
        <f t="shared" si="37"/>
        <v>0</v>
      </c>
      <c r="AG93" s="109">
        <f t="shared" si="37"/>
        <v>0</v>
      </c>
      <c r="AH93" s="109">
        <f t="shared" si="37"/>
        <v>0</v>
      </c>
      <c r="AI93" s="109">
        <f t="shared" ref="AI93:BN93" si="38">$C57*AJ57</f>
        <v>0</v>
      </c>
      <c r="AJ93" s="109">
        <f t="shared" si="38"/>
        <v>0</v>
      </c>
      <c r="AK93" s="109">
        <f t="shared" si="38"/>
        <v>0</v>
      </c>
      <c r="AL93" s="109">
        <f t="shared" si="38"/>
        <v>0</v>
      </c>
      <c r="AM93" s="109">
        <f t="shared" si="38"/>
        <v>0</v>
      </c>
      <c r="AN93" s="109">
        <f t="shared" si="38"/>
        <v>0</v>
      </c>
      <c r="AO93" s="109">
        <f t="shared" si="38"/>
        <v>0</v>
      </c>
      <c r="AP93" s="109">
        <f t="shared" si="38"/>
        <v>0</v>
      </c>
      <c r="AQ93" s="109">
        <f t="shared" si="38"/>
        <v>0</v>
      </c>
      <c r="AR93" s="109">
        <f t="shared" si="38"/>
        <v>0</v>
      </c>
      <c r="AS93" s="109">
        <f t="shared" si="38"/>
        <v>0</v>
      </c>
      <c r="AT93" s="109">
        <f t="shared" si="38"/>
        <v>0</v>
      </c>
      <c r="AU93" s="109">
        <f t="shared" si="38"/>
        <v>0</v>
      </c>
      <c r="AV93" s="109">
        <f t="shared" si="38"/>
        <v>0</v>
      </c>
      <c r="AW93" s="109">
        <f t="shared" si="38"/>
        <v>0</v>
      </c>
      <c r="AX93" s="109">
        <f t="shared" si="38"/>
        <v>0</v>
      </c>
      <c r="AY93" s="109">
        <f t="shared" si="38"/>
        <v>0</v>
      </c>
      <c r="AZ93" s="109">
        <f t="shared" si="38"/>
        <v>0</v>
      </c>
      <c r="BA93" s="109">
        <f t="shared" si="38"/>
        <v>0</v>
      </c>
      <c r="BB93" s="109">
        <f t="shared" si="38"/>
        <v>0</v>
      </c>
      <c r="BC93" s="109">
        <f t="shared" si="38"/>
        <v>0</v>
      </c>
      <c r="BD93" s="109">
        <f t="shared" si="38"/>
        <v>0</v>
      </c>
      <c r="BE93" s="109">
        <f t="shared" si="38"/>
        <v>0</v>
      </c>
      <c r="BF93" s="109">
        <f t="shared" si="38"/>
        <v>0</v>
      </c>
      <c r="BG93" s="109">
        <f t="shared" si="38"/>
        <v>0</v>
      </c>
      <c r="BH93" s="109">
        <f t="shared" si="38"/>
        <v>0</v>
      </c>
      <c r="BI93" s="109">
        <f t="shared" si="38"/>
        <v>0</v>
      </c>
      <c r="BJ93" s="109">
        <f t="shared" si="38"/>
        <v>0</v>
      </c>
      <c r="BK93" s="109">
        <f t="shared" si="38"/>
        <v>0</v>
      </c>
      <c r="BL93" s="109">
        <f t="shared" si="38"/>
        <v>0</v>
      </c>
      <c r="BM93" s="109">
        <f t="shared" si="38"/>
        <v>0</v>
      </c>
      <c r="BN93" s="109">
        <f t="shared" si="38"/>
        <v>0</v>
      </c>
      <c r="BO93" s="109">
        <f t="shared" ref="BO93:CX93" si="39">$C57*BP57</f>
        <v>0</v>
      </c>
      <c r="BP93" s="109">
        <f t="shared" si="39"/>
        <v>0</v>
      </c>
      <c r="BQ93" s="109">
        <f t="shared" si="39"/>
        <v>0</v>
      </c>
      <c r="BR93" s="109">
        <f t="shared" si="39"/>
        <v>0</v>
      </c>
      <c r="BS93" s="109">
        <f t="shared" si="39"/>
        <v>0</v>
      </c>
      <c r="BT93" s="109">
        <f t="shared" si="39"/>
        <v>0</v>
      </c>
      <c r="BU93" s="109">
        <f t="shared" si="39"/>
        <v>0</v>
      </c>
      <c r="BV93" s="109">
        <f t="shared" si="39"/>
        <v>0</v>
      </c>
      <c r="BW93" s="109">
        <f t="shared" si="39"/>
        <v>0</v>
      </c>
      <c r="BX93" s="109">
        <f t="shared" si="39"/>
        <v>0</v>
      </c>
      <c r="BY93" s="109">
        <f t="shared" si="39"/>
        <v>0</v>
      </c>
      <c r="BZ93" s="109">
        <f t="shared" si="39"/>
        <v>0</v>
      </c>
      <c r="CA93" s="109">
        <f t="shared" si="39"/>
        <v>0</v>
      </c>
      <c r="CB93" s="109">
        <f t="shared" si="39"/>
        <v>0</v>
      </c>
      <c r="CC93" s="109">
        <f t="shared" si="39"/>
        <v>0</v>
      </c>
      <c r="CD93" s="109">
        <f t="shared" si="39"/>
        <v>0</v>
      </c>
      <c r="CE93" s="109">
        <f t="shared" si="39"/>
        <v>0</v>
      </c>
      <c r="CF93" s="109">
        <f t="shared" si="39"/>
        <v>0</v>
      </c>
      <c r="CG93" s="109">
        <f t="shared" si="39"/>
        <v>0</v>
      </c>
      <c r="CH93" s="109">
        <f t="shared" si="39"/>
        <v>0</v>
      </c>
      <c r="CI93" s="109">
        <f t="shared" si="39"/>
        <v>0</v>
      </c>
      <c r="CJ93" s="109">
        <f t="shared" si="39"/>
        <v>0</v>
      </c>
      <c r="CK93" s="109">
        <f t="shared" si="39"/>
        <v>0</v>
      </c>
      <c r="CL93" s="109">
        <f t="shared" si="39"/>
        <v>0</v>
      </c>
      <c r="CM93" s="109">
        <f t="shared" si="39"/>
        <v>0</v>
      </c>
      <c r="CN93" s="109">
        <f t="shared" si="39"/>
        <v>0</v>
      </c>
      <c r="CO93" s="109">
        <f t="shared" si="39"/>
        <v>0</v>
      </c>
      <c r="CP93" s="109">
        <f t="shared" si="39"/>
        <v>0</v>
      </c>
      <c r="CQ93" s="109">
        <f t="shared" si="39"/>
        <v>0</v>
      </c>
      <c r="CR93" s="109">
        <f t="shared" si="39"/>
        <v>0</v>
      </c>
      <c r="CS93" s="109">
        <f t="shared" si="39"/>
        <v>0</v>
      </c>
      <c r="CT93" s="109">
        <f t="shared" si="39"/>
        <v>0</v>
      </c>
      <c r="CU93" s="109">
        <f t="shared" si="39"/>
        <v>0</v>
      </c>
      <c r="CV93" s="109">
        <f t="shared" si="39"/>
        <v>0</v>
      </c>
      <c r="CW93" s="109">
        <f t="shared" si="39"/>
        <v>0</v>
      </c>
      <c r="CX93" s="172">
        <f t="shared" si="39"/>
        <v>0</v>
      </c>
    </row>
    <row r="94" spans="1:102" ht="20" customHeight="1">
      <c r="A94" s="170">
        <f t="shared" si="24"/>
        <v>4244909.5158541258</v>
      </c>
      <c r="B94" s="171" t="str">
        <f t="shared" si="20"/>
        <v>Buffer Storage (downstream)</v>
      </c>
      <c r="C94" s="109">
        <f t="shared" ref="C94:AH94" si="40">$C58*D58</f>
        <v>2122454.7579270629</v>
      </c>
      <c r="D94" s="109">
        <f t="shared" si="40"/>
        <v>2122454.7579270629</v>
      </c>
      <c r="E94" s="109">
        <f t="shared" si="40"/>
        <v>0</v>
      </c>
      <c r="F94" s="109">
        <f t="shared" si="40"/>
        <v>0</v>
      </c>
      <c r="G94" s="109">
        <f t="shared" si="40"/>
        <v>0</v>
      </c>
      <c r="H94" s="109">
        <f t="shared" si="40"/>
        <v>0</v>
      </c>
      <c r="I94" s="109">
        <f t="shared" si="40"/>
        <v>0</v>
      </c>
      <c r="J94" s="109">
        <f t="shared" si="40"/>
        <v>0</v>
      </c>
      <c r="K94" s="109">
        <f t="shared" si="40"/>
        <v>0</v>
      </c>
      <c r="L94" s="109">
        <f t="shared" si="40"/>
        <v>0</v>
      </c>
      <c r="M94" s="109">
        <f t="shared" si="40"/>
        <v>0</v>
      </c>
      <c r="N94" s="109">
        <f t="shared" si="40"/>
        <v>0</v>
      </c>
      <c r="O94" s="109">
        <f t="shared" si="40"/>
        <v>0</v>
      </c>
      <c r="P94" s="109">
        <f t="shared" si="40"/>
        <v>0</v>
      </c>
      <c r="Q94" s="109">
        <f t="shared" si="40"/>
        <v>0</v>
      </c>
      <c r="R94" s="109">
        <f t="shared" si="40"/>
        <v>0</v>
      </c>
      <c r="S94" s="109">
        <f t="shared" si="40"/>
        <v>0</v>
      </c>
      <c r="T94" s="109">
        <f t="shared" si="40"/>
        <v>0</v>
      </c>
      <c r="U94" s="109">
        <f t="shared" si="40"/>
        <v>0</v>
      </c>
      <c r="V94" s="109">
        <f t="shared" si="40"/>
        <v>0</v>
      </c>
      <c r="W94" s="109">
        <f t="shared" si="40"/>
        <v>0</v>
      </c>
      <c r="X94" s="109">
        <f t="shared" si="40"/>
        <v>0</v>
      </c>
      <c r="Y94" s="109">
        <f t="shared" si="40"/>
        <v>0</v>
      </c>
      <c r="Z94" s="109">
        <f t="shared" si="40"/>
        <v>0</v>
      </c>
      <c r="AA94" s="109">
        <f t="shared" si="40"/>
        <v>0</v>
      </c>
      <c r="AB94" s="109">
        <f t="shared" si="40"/>
        <v>0</v>
      </c>
      <c r="AC94" s="109">
        <f t="shared" si="40"/>
        <v>0</v>
      </c>
      <c r="AD94" s="109">
        <f t="shared" si="40"/>
        <v>0</v>
      </c>
      <c r="AE94" s="109">
        <f t="shared" si="40"/>
        <v>0</v>
      </c>
      <c r="AF94" s="109">
        <f t="shared" si="40"/>
        <v>0</v>
      </c>
      <c r="AG94" s="109">
        <f t="shared" si="40"/>
        <v>0</v>
      </c>
      <c r="AH94" s="109">
        <f t="shared" si="40"/>
        <v>0</v>
      </c>
      <c r="AI94" s="109">
        <f t="shared" ref="AI94:BN94" si="41">$C58*AJ58</f>
        <v>0</v>
      </c>
      <c r="AJ94" s="109">
        <f t="shared" si="41"/>
        <v>0</v>
      </c>
      <c r="AK94" s="109">
        <f t="shared" si="41"/>
        <v>0</v>
      </c>
      <c r="AL94" s="109">
        <f t="shared" si="41"/>
        <v>0</v>
      </c>
      <c r="AM94" s="109">
        <f t="shared" si="41"/>
        <v>0</v>
      </c>
      <c r="AN94" s="109">
        <f t="shared" si="41"/>
        <v>0</v>
      </c>
      <c r="AO94" s="109">
        <f t="shared" si="41"/>
        <v>0</v>
      </c>
      <c r="AP94" s="109">
        <f t="shared" si="41"/>
        <v>0</v>
      </c>
      <c r="AQ94" s="109">
        <f t="shared" si="41"/>
        <v>0</v>
      </c>
      <c r="AR94" s="109">
        <f t="shared" si="41"/>
        <v>0</v>
      </c>
      <c r="AS94" s="109">
        <f t="shared" si="41"/>
        <v>0</v>
      </c>
      <c r="AT94" s="109">
        <f t="shared" si="41"/>
        <v>0</v>
      </c>
      <c r="AU94" s="109">
        <f t="shared" si="41"/>
        <v>0</v>
      </c>
      <c r="AV94" s="109">
        <f t="shared" si="41"/>
        <v>0</v>
      </c>
      <c r="AW94" s="109">
        <f t="shared" si="41"/>
        <v>0</v>
      </c>
      <c r="AX94" s="109">
        <f t="shared" si="41"/>
        <v>0</v>
      </c>
      <c r="AY94" s="109">
        <f t="shared" si="41"/>
        <v>0</v>
      </c>
      <c r="AZ94" s="109">
        <f t="shared" si="41"/>
        <v>0</v>
      </c>
      <c r="BA94" s="109">
        <f t="shared" si="41"/>
        <v>0</v>
      </c>
      <c r="BB94" s="109">
        <f t="shared" si="41"/>
        <v>0</v>
      </c>
      <c r="BC94" s="109">
        <f t="shared" si="41"/>
        <v>0</v>
      </c>
      <c r="BD94" s="109">
        <f t="shared" si="41"/>
        <v>0</v>
      </c>
      <c r="BE94" s="109">
        <f t="shared" si="41"/>
        <v>0</v>
      </c>
      <c r="BF94" s="109">
        <f t="shared" si="41"/>
        <v>0</v>
      </c>
      <c r="BG94" s="109">
        <f t="shared" si="41"/>
        <v>0</v>
      </c>
      <c r="BH94" s="109">
        <f t="shared" si="41"/>
        <v>0</v>
      </c>
      <c r="BI94" s="109">
        <f t="shared" si="41"/>
        <v>0</v>
      </c>
      <c r="BJ94" s="109">
        <f t="shared" si="41"/>
        <v>0</v>
      </c>
      <c r="BK94" s="109">
        <f t="shared" si="41"/>
        <v>0</v>
      </c>
      <c r="BL94" s="109">
        <f t="shared" si="41"/>
        <v>0</v>
      </c>
      <c r="BM94" s="109">
        <f t="shared" si="41"/>
        <v>0</v>
      </c>
      <c r="BN94" s="109">
        <f t="shared" si="41"/>
        <v>0</v>
      </c>
      <c r="BO94" s="109">
        <f t="shared" ref="BO94:CX94" si="42">$C58*BP58</f>
        <v>0</v>
      </c>
      <c r="BP94" s="109">
        <f t="shared" si="42"/>
        <v>0</v>
      </c>
      <c r="BQ94" s="109">
        <f t="shared" si="42"/>
        <v>0</v>
      </c>
      <c r="BR94" s="109">
        <f t="shared" si="42"/>
        <v>0</v>
      </c>
      <c r="BS94" s="109">
        <f t="shared" si="42"/>
        <v>0</v>
      </c>
      <c r="BT94" s="109">
        <f t="shared" si="42"/>
        <v>0</v>
      </c>
      <c r="BU94" s="109">
        <f t="shared" si="42"/>
        <v>0</v>
      </c>
      <c r="BV94" s="109">
        <f t="shared" si="42"/>
        <v>0</v>
      </c>
      <c r="BW94" s="109">
        <f t="shared" si="42"/>
        <v>0</v>
      </c>
      <c r="BX94" s="109">
        <f t="shared" si="42"/>
        <v>0</v>
      </c>
      <c r="BY94" s="109">
        <f t="shared" si="42"/>
        <v>0</v>
      </c>
      <c r="BZ94" s="109">
        <f t="shared" si="42"/>
        <v>0</v>
      </c>
      <c r="CA94" s="109">
        <f t="shared" si="42"/>
        <v>0</v>
      </c>
      <c r="CB94" s="109">
        <f t="shared" si="42"/>
        <v>0</v>
      </c>
      <c r="CC94" s="109">
        <f t="shared" si="42"/>
        <v>0</v>
      </c>
      <c r="CD94" s="109">
        <f t="shared" si="42"/>
        <v>0</v>
      </c>
      <c r="CE94" s="109">
        <f t="shared" si="42"/>
        <v>0</v>
      </c>
      <c r="CF94" s="109">
        <f t="shared" si="42"/>
        <v>0</v>
      </c>
      <c r="CG94" s="109">
        <f t="shared" si="42"/>
        <v>0</v>
      </c>
      <c r="CH94" s="109">
        <f t="shared" si="42"/>
        <v>0</v>
      </c>
      <c r="CI94" s="109">
        <f t="shared" si="42"/>
        <v>0</v>
      </c>
      <c r="CJ94" s="109">
        <f t="shared" si="42"/>
        <v>0</v>
      </c>
      <c r="CK94" s="109">
        <f t="shared" si="42"/>
        <v>0</v>
      </c>
      <c r="CL94" s="109">
        <f t="shared" si="42"/>
        <v>0</v>
      </c>
      <c r="CM94" s="109">
        <f t="shared" si="42"/>
        <v>0</v>
      </c>
      <c r="CN94" s="109">
        <f t="shared" si="42"/>
        <v>0</v>
      </c>
      <c r="CO94" s="109">
        <f t="shared" si="42"/>
        <v>0</v>
      </c>
      <c r="CP94" s="109">
        <f t="shared" si="42"/>
        <v>0</v>
      </c>
      <c r="CQ94" s="109">
        <f t="shared" si="42"/>
        <v>0</v>
      </c>
      <c r="CR94" s="109">
        <f t="shared" si="42"/>
        <v>0</v>
      </c>
      <c r="CS94" s="109">
        <f t="shared" si="42"/>
        <v>0</v>
      </c>
      <c r="CT94" s="109">
        <f t="shared" si="42"/>
        <v>0</v>
      </c>
      <c r="CU94" s="109">
        <f t="shared" si="42"/>
        <v>0</v>
      </c>
      <c r="CV94" s="109">
        <f t="shared" si="42"/>
        <v>0</v>
      </c>
      <c r="CW94" s="109">
        <f t="shared" si="42"/>
        <v>0</v>
      </c>
      <c r="CX94" s="172">
        <f t="shared" si="42"/>
        <v>0</v>
      </c>
    </row>
    <row r="95" spans="1:102" ht="20" customHeight="1">
      <c r="A95" s="170">
        <f t="shared" si="24"/>
        <v>4659928.6785793267</v>
      </c>
      <c r="B95" s="171" t="str">
        <f t="shared" si="20"/>
        <v>Reconditioning equipment</v>
      </c>
      <c r="C95" s="109">
        <f t="shared" ref="C95:AH95" si="43">$C59*D59</f>
        <v>2329964.3392896634</v>
      </c>
      <c r="D95" s="109">
        <f t="shared" si="43"/>
        <v>2329964.3392896634</v>
      </c>
      <c r="E95" s="109">
        <f t="shared" si="43"/>
        <v>0</v>
      </c>
      <c r="F95" s="109">
        <f t="shared" si="43"/>
        <v>0</v>
      </c>
      <c r="G95" s="109">
        <f t="shared" si="43"/>
        <v>0</v>
      </c>
      <c r="H95" s="109">
        <f t="shared" si="43"/>
        <v>0</v>
      </c>
      <c r="I95" s="109">
        <f t="shared" si="43"/>
        <v>0</v>
      </c>
      <c r="J95" s="109">
        <f t="shared" si="43"/>
        <v>0</v>
      </c>
      <c r="K95" s="109">
        <f t="shared" si="43"/>
        <v>0</v>
      </c>
      <c r="L95" s="109">
        <f t="shared" si="43"/>
        <v>0</v>
      </c>
      <c r="M95" s="109">
        <f t="shared" si="43"/>
        <v>0</v>
      </c>
      <c r="N95" s="109">
        <f t="shared" si="43"/>
        <v>0</v>
      </c>
      <c r="O95" s="109">
        <f t="shared" si="43"/>
        <v>0</v>
      </c>
      <c r="P95" s="109">
        <f t="shared" si="43"/>
        <v>0</v>
      </c>
      <c r="Q95" s="109">
        <f t="shared" si="43"/>
        <v>0</v>
      </c>
      <c r="R95" s="109">
        <f t="shared" si="43"/>
        <v>0</v>
      </c>
      <c r="S95" s="109">
        <f t="shared" si="43"/>
        <v>0</v>
      </c>
      <c r="T95" s="109">
        <f t="shared" si="43"/>
        <v>0</v>
      </c>
      <c r="U95" s="109">
        <f t="shared" si="43"/>
        <v>0</v>
      </c>
      <c r="V95" s="109">
        <f t="shared" si="43"/>
        <v>0</v>
      </c>
      <c r="W95" s="109">
        <f t="shared" si="43"/>
        <v>0</v>
      </c>
      <c r="X95" s="109">
        <f t="shared" si="43"/>
        <v>0</v>
      </c>
      <c r="Y95" s="109">
        <f t="shared" si="43"/>
        <v>0</v>
      </c>
      <c r="Z95" s="109">
        <f t="shared" si="43"/>
        <v>0</v>
      </c>
      <c r="AA95" s="109">
        <f t="shared" si="43"/>
        <v>0</v>
      </c>
      <c r="AB95" s="109">
        <f t="shared" si="43"/>
        <v>0</v>
      </c>
      <c r="AC95" s="109">
        <f t="shared" si="43"/>
        <v>0</v>
      </c>
      <c r="AD95" s="109">
        <f t="shared" si="43"/>
        <v>0</v>
      </c>
      <c r="AE95" s="109">
        <f t="shared" si="43"/>
        <v>0</v>
      </c>
      <c r="AF95" s="109">
        <f t="shared" si="43"/>
        <v>0</v>
      </c>
      <c r="AG95" s="109">
        <f t="shared" si="43"/>
        <v>0</v>
      </c>
      <c r="AH95" s="109">
        <f t="shared" si="43"/>
        <v>0</v>
      </c>
      <c r="AI95" s="109">
        <f t="shared" ref="AI95:BN95" si="44">$C59*AJ59</f>
        <v>0</v>
      </c>
      <c r="AJ95" s="109">
        <f t="shared" si="44"/>
        <v>0</v>
      </c>
      <c r="AK95" s="109">
        <f t="shared" si="44"/>
        <v>0</v>
      </c>
      <c r="AL95" s="109">
        <f t="shared" si="44"/>
        <v>0</v>
      </c>
      <c r="AM95" s="109">
        <f t="shared" si="44"/>
        <v>0</v>
      </c>
      <c r="AN95" s="109">
        <f t="shared" si="44"/>
        <v>0</v>
      </c>
      <c r="AO95" s="109">
        <f t="shared" si="44"/>
        <v>0</v>
      </c>
      <c r="AP95" s="109">
        <f t="shared" si="44"/>
        <v>0</v>
      </c>
      <c r="AQ95" s="109">
        <f t="shared" si="44"/>
        <v>0</v>
      </c>
      <c r="AR95" s="109">
        <f t="shared" si="44"/>
        <v>0</v>
      </c>
      <c r="AS95" s="109">
        <f t="shared" si="44"/>
        <v>0</v>
      </c>
      <c r="AT95" s="109">
        <f t="shared" si="44"/>
        <v>0</v>
      </c>
      <c r="AU95" s="109">
        <f t="shared" si="44"/>
        <v>0</v>
      </c>
      <c r="AV95" s="109">
        <f t="shared" si="44"/>
        <v>0</v>
      </c>
      <c r="AW95" s="109">
        <f t="shared" si="44"/>
        <v>0</v>
      </c>
      <c r="AX95" s="109">
        <f t="shared" si="44"/>
        <v>0</v>
      </c>
      <c r="AY95" s="109">
        <f t="shared" si="44"/>
        <v>0</v>
      </c>
      <c r="AZ95" s="109">
        <f t="shared" si="44"/>
        <v>0</v>
      </c>
      <c r="BA95" s="109">
        <f t="shared" si="44"/>
        <v>0</v>
      </c>
      <c r="BB95" s="109">
        <f t="shared" si="44"/>
        <v>0</v>
      </c>
      <c r="BC95" s="109">
        <f t="shared" si="44"/>
        <v>0</v>
      </c>
      <c r="BD95" s="109">
        <f t="shared" si="44"/>
        <v>0</v>
      </c>
      <c r="BE95" s="109">
        <f t="shared" si="44"/>
        <v>0</v>
      </c>
      <c r="BF95" s="109">
        <f t="shared" si="44"/>
        <v>0</v>
      </c>
      <c r="BG95" s="109">
        <f t="shared" si="44"/>
        <v>0</v>
      </c>
      <c r="BH95" s="109">
        <f t="shared" si="44"/>
        <v>0</v>
      </c>
      <c r="BI95" s="109">
        <f t="shared" si="44"/>
        <v>0</v>
      </c>
      <c r="BJ95" s="109">
        <f t="shared" si="44"/>
        <v>0</v>
      </c>
      <c r="BK95" s="109">
        <f t="shared" si="44"/>
        <v>0</v>
      </c>
      <c r="BL95" s="109">
        <f t="shared" si="44"/>
        <v>0</v>
      </c>
      <c r="BM95" s="109">
        <f t="shared" si="44"/>
        <v>0</v>
      </c>
      <c r="BN95" s="109">
        <f t="shared" si="44"/>
        <v>0</v>
      </c>
      <c r="BO95" s="109">
        <f t="shared" ref="BO95:CX95" si="45">$C59*BP59</f>
        <v>0</v>
      </c>
      <c r="BP95" s="109">
        <f t="shared" si="45"/>
        <v>0</v>
      </c>
      <c r="BQ95" s="109">
        <f t="shared" si="45"/>
        <v>0</v>
      </c>
      <c r="BR95" s="109">
        <f t="shared" si="45"/>
        <v>0</v>
      </c>
      <c r="BS95" s="109">
        <f t="shared" si="45"/>
        <v>0</v>
      </c>
      <c r="BT95" s="109">
        <f t="shared" si="45"/>
        <v>0</v>
      </c>
      <c r="BU95" s="109">
        <f t="shared" si="45"/>
        <v>0</v>
      </c>
      <c r="BV95" s="109">
        <f t="shared" si="45"/>
        <v>0</v>
      </c>
      <c r="BW95" s="109">
        <f t="shared" si="45"/>
        <v>0</v>
      </c>
      <c r="BX95" s="109">
        <f t="shared" si="45"/>
        <v>0</v>
      </c>
      <c r="BY95" s="109">
        <f t="shared" si="45"/>
        <v>0</v>
      </c>
      <c r="BZ95" s="109">
        <f t="shared" si="45"/>
        <v>0</v>
      </c>
      <c r="CA95" s="109">
        <f t="shared" si="45"/>
        <v>0</v>
      </c>
      <c r="CB95" s="109">
        <f t="shared" si="45"/>
        <v>0</v>
      </c>
      <c r="CC95" s="109">
        <f t="shared" si="45"/>
        <v>0</v>
      </c>
      <c r="CD95" s="109">
        <f t="shared" si="45"/>
        <v>0</v>
      </c>
      <c r="CE95" s="109">
        <f t="shared" si="45"/>
        <v>0</v>
      </c>
      <c r="CF95" s="109">
        <f t="shared" si="45"/>
        <v>0</v>
      </c>
      <c r="CG95" s="109">
        <f t="shared" si="45"/>
        <v>0</v>
      </c>
      <c r="CH95" s="109">
        <f t="shared" si="45"/>
        <v>0</v>
      </c>
      <c r="CI95" s="109">
        <f t="shared" si="45"/>
        <v>0</v>
      </c>
      <c r="CJ95" s="109">
        <f t="shared" si="45"/>
        <v>0</v>
      </c>
      <c r="CK95" s="109">
        <f t="shared" si="45"/>
        <v>0</v>
      </c>
      <c r="CL95" s="109">
        <f t="shared" si="45"/>
        <v>0</v>
      </c>
      <c r="CM95" s="109">
        <f t="shared" si="45"/>
        <v>0</v>
      </c>
      <c r="CN95" s="109">
        <f t="shared" si="45"/>
        <v>0</v>
      </c>
      <c r="CO95" s="109">
        <f t="shared" si="45"/>
        <v>0</v>
      </c>
      <c r="CP95" s="109">
        <f t="shared" si="45"/>
        <v>0</v>
      </c>
      <c r="CQ95" s="109">
        <f t="shared" si="45"/>
        <v>0</v>
      </c>
      <c r="CR95" s="109">
        <f t="shared" si="45"/>
        <v>0</v>
      </c>
      <c r="CS95" s="109">
        <f t="shared" si="45"/>
        <v>0</v>
      </c>
      <c r="CT95" s="109">
        <f t="shared" si="45"/>
        <v>0</v>
      </c>
      <c r="CU95" s="109">
        <f t="shared" si="45"/>
        <v>0</v>
      </c>
      <c r="CV95" s="109">
        <f t="shared" si="45"/>
        <v>0</v>
      </c>
      <c r="CW95" s="109">
        <f t="shared" si="45"/>
        <v>0</v>
      </c>
      <c r="CX95" s="172">
        <f t="shared" si="45"/>
        <v>0</v>
      </c>
    </row>
    <row r="96" spans="1:102" ht="20" customHeight="1">
      <c r="A96" s="170">
        <f>SUM(C96:CX96)</f>
        <v>6469475.0138074197</v>
      </c>
      <c r="B96" s="173" t="s">
        <v>151</v>
      </c>
      <c r="C96" s="174">
        <f t="shared" ref="C96:AH96" si="46">SUM(C88:C95)*$C$30</f>
        <v>2018854.7285724741</v>
      </c>
      <c r="D96" s="174">
        <f t="shared" si="46"/>
        <v>4450620.2852349458</v>
      </c>
      <c r="E96" s="174">
        <f t="shared" si="46"/>
        <v>0</v>
      </c>
      <c r="F96" s="174">
        <f t="shared" si="46"/>
        <v>0</v>
      </c>
      <c r="G96" s="174">
        <f t="shared" si="46"/>
        <v>0</v>
      </c>
      <c r="H96" s="174">
        <f t="shared" si="46"/>
        <v>0</v>
      </c>
      <c r="I96" s="174">
        <f t="shared" si="46"/>
        <v>0</v>
      </c>
      <c r="J96" s="174">
        <f t="shared" si="46"/>
        <v>0</v>
      </c>
      <c r="K96" s="174">
        <f t="shared" si="46"/>
        <v>0</v>
      </c>
      <c r="L96" s="174">
        <f t="shared" si="46"/>
        <v>0</v>
      </c>
      <c r="M96" s="174">
        <f t="shared" si="46"/>
        <v>0</v>
      </c>
      <c r="N96" s="174">
        <f t="shared" si="46"/>
        <v>0</v>
      </c>
      <c r="O96" s="174">
        <f t="shared" si="46"/>
        <v>0</v>
      </c>
      <c r="P96" s="174">
        <f t="shared" si="46"/>
        <v>0</v>
      </c>
      <c r="Q96" s="174">
        <f t="shared" si="46"/>
        <v>0</v>
      </c>
      <c r="R96" s="174">
        <f t="shared" si="46"/>
        <v>0</v>
      </c>
      <c r="S96" s="174">
        <f t="shared" si="46"/>
        <v>0</v>
      </c>
      <c r="T96" s="174">
        <f t="shared" si="46"/>
        <v>0</v>
      </c>
      <c r="U96" s="174">
        <f t="shared" si="46"/>
        <v>0</v>
      </c>
      <c r="V96" s="174">
        <f t="shared" si="46"/>
        <v>0</v>
      </c>
      <c r="W96" s="174">
        <f t="shared" si="46"/>
        <v>0</v>
      </c>
      <c r="X96" s="174">
        <f t="shared" si="46"/>
        <v>0</v>
      </c>
      <c r="Y96" s="174">
        <f t="shared" si="46"/>
        <v>0</v>
      </c>
      <c r="Z96" s="174">
        <f t="shared" si="46"/>
        <v>0</v>
      </c>
      <c r="AA96" s="174">
        <f t="shared" si="46"/>
        <v>0</v>
      </c>
      <c r="AB96" s="174">
        <f t="shared" si="46"/>
        <v>0</v>
      </c>
      <c r="AC96" s="174">
        <f t="shared" si="46"/>
        <v>0</v>
      </c>
      <c r="AD96" s="174">
        <f t="shared" si="46"/>
        <v>0</v>
      </c>
      <c r="AE96" s="174">
        <f t="shared" si="46"/>
        <v>0</v>
      </c>
      <c r="AF96" s="174">
        <f t="shared" si="46"/>
        <v>0</v>
      </c>
      <c r="AG96" s="174">
        <f t="shared" si="46"/>
        <v>0</v>
      </c>
      <c r="AH96" s="174">
        <f t="shared" si="46"/>
        <v>0</v>
      </c>
      <c r="AI96" s="174">
        <f t="shared" ref="AI96:BN96" si="47">SUM(AI88:AI95)*$C$30</f>
        <v>0</v>
      </c>
      <c r="AJ96" s="174">
        <f t="shared" si="47"/>
        <v>0</v>
      </c>
      <c r="AK96" s="174">
        <f t="shared" si="47"/>
        <v>0</v>
      </c>
      <c r="AL96" s="174">
        <f t="shared" si="47"/>
        <v>0</v>
      </c>
      <c r="AM96" s="174">
        <f t="shared" si="47"/>
        <v>0</v>
      </c>
      <c r="AN96" s="174">
        <f t="shared" si="47"/>
        <v>0</v>
      </c>
      <c r="AO96" s="174">
        <f t="shared" si="47"/>
        <v>0</v>
      </c>
      <c r="AP96" s="174">
        <f t="shared" si="47"/>
        <v>0</v>
      </c>
      <c r="AQ96" s="174">
        <f t="shared" si="47"/>
        <v>0</v>
      </c>
      <c r="AR96" s="174">
        <f t="shared" si="47"/>
        <v>0</v>
      </c>
      <c r="AS96" s="174">
        <f t="shared" si="47"/>
        <v>0</v>
      </c>
      <c r="AT96" s="174">
        <f t="shared" si="47"/>
        <v>0</v>
      </c>
      <c r="AU96" s="174">
        <f t="shared" si="47"/>
        <v>0</v>
      </c>
      <c r="AV96" s="174">
        <f t="shared" si="47"/>
        <v>0</v>
      </c>
      <c r="AW96" s="174">
        <f t="shared" si="47"/>
        <v>0</v>
      </c>
      <c r="AX96" s="174">
        <f t="shared" si="47"/>
        <v>0</v>
      </c>
      <c r="AY96" s="174">
        <f t="shared" si="47"/>
        <v>0</v>
      </c>
      <c r="AZ96" s="174">
        <f t="shared" si="47"/>
        <v>0</v>
      </c>
      <c r="BA96" s="174">
        <f t="shared" si="47"/>
        <v>0</v>
      </c>
      <c r="BB96" s="174">
        <f t="shared" si="47"/>
        <v>0</v>
      </c>
      <c r="BC96" s="174">
        <f t="shared" si="47"/>
        <v>0</v>
      </c>
      <c r="BD96" s="174">
        <f t="shared" si="47"/>
        <v>0</v>
      </c>
      <c r="BE96" s="174">
        <f t="shared" si="47"/>
        <v>0</v>
      </c>
      <c r="BF96" s="174">
        <f t="shared" si="47"/>
        <v>0</v>
      </c>
      <c r="BG96" s="174">
        <f t="shared" si="47"/>
        <v>0</v>
      </c>
      <c r="BH96" s="174">
        <f t="shared" si="47"/>
        <v>0</v>
      </c>
      <c r="BI96" s="174">
        <f t="shared" si="47"/>
        <v>0</v>
      </c>
      <c r="BJ96" s="174">
        <f t="shared" si="47"/>
        <v>0</v>
      </c>
      <c r="BK96" s="174">
        <f t="shared" si="47"/>
        <v>0</v>
      </c>
      <c r="BL96" s="174">
        <f t="shared" si="47"/>
        <v>0</v>
      </c>
      <c r="BM96" s="174">
        <f t="shared" si="47"/>
        <v>0</v>
      </c>
      <c r="BN96" s="174">
        <f t="shared" si="47"/>
        <v>0</v>
      </c>
      <c r="BO96" s="174">
        <f t="shared" ref="BO96:CT96" si="48">SUM(BO88:BO95)*$C$30</f>
        <v>0</v>
      </c>
      <c r="BP96" s="174">
        <f t="shared" si="48"/>
        <v>0</v>
      </c>
      <c r="BQ96" s="174">
        <f t="shared" si="48"/>
        <v>0</v>
      </c>
      <c r="BR96" s="174">
        <f t="shared" si="48"/>
        <v>0</v>
      </c>
      <c r="BS96" s="174">
        <f t="shared" si="48"/>
        <v>0</v>
      </c>
      <c r="BT96" s="174">
        <f t="shared" si="48"/>
        <v>0</v>
      </c>
      <c r="BU96" s="174">
        <f t="shared" si="48"/>
        <v>0</v>
      </c>
      <c r="BV96" s="174">
        <f t="shared" si="48"/>
        <v>0</v>
      </c>
      <c r="BW96" s="174">
        <f t="shared" si="48"/>
        <v>0</v>
      </c>
      <c r="BX96" s="174">
        <f t="shared" si="48"/>
        <v>0</v>
      </c>
      <c r="BY96" s="174">
        <f t="shared" si="48"/>
        <v>0</v>
      </c>
      <c r="BZ96" s="174">
        <f t="shared" si="48"/>
        <v>0</v>
      </c>
      <c r="CA96" s="174">
        <f t="shared" si="48"/>
        <v>0</v>
      </c>
      <c r="CB96" s="174">
        <f t="shared" si="48"/>
        <v>0</v>
      </c>
      <c r="CC96" s="174">
        <f t="shared" si="48"/>
        <v>0</v>
      </c>
      <c r="CD96" s="174">
        <f t="shared" si="48"/>
        <v>0</v>
      </c>
      <c r="CE96" s="174">
        <f t="shared" si="48"/>
        <v>0</v>
      </c>
      <c r="CF96" s="174">
        <f t="shared" si="48"/>
        <v>0</v>
      </c>
      <c r="CG96" s="174">
        <f t="shared" si="48"/>
        <v>0</v>
      </c>
      <c r="CH96" s="174">
        <f t="shared" si="48"/>
        <v>0</v>
      </c>
      <c r="CI96" s="174">
        <f t="shared" si="48"/>
        <v>0</v>
      </c>
      <c r="CJ96" s="174">
        <f t="shared" si="48"/>
        <v>0</v>
      </c>
      <c r="CK96" s="174">
        <f t="shared" si="48"/>
        <v>0</v>
      </c>
      <c r="CL96" s="174">
        <f t="shared" si="48"/>
        <v>0</v>
      </c>
      <c r="CM96" s="174">
        <f t="shared" si="48"/>
        <v>0</v>
      </c>
      <c r="CN96" s="174">
        <f t="shared" si="48"/>
        <v>0</v>
      </c>
      <c r="CO96" s="174">
        <f t="shared" si="48"/>
        <v>0</v>
      </c>
      <c r="CP96" s="174">
        <f t="shared" si="48"/>
        <v>0</v>
      </c>
      <c r="CQ96" s="174">
        <f t="shared" si="48"/>
        <v>0</v>
      </c>
      <c r="CR96" s="174">
        <f t="shared" si="48"/>
        <v>0</v>
      </c>
      <c r="CS96" s="174">
        <f t="shared" si="48"/>
        <v>0</v>
      </c>
      <c r="CT96" s="174">
        <f t="shared" si="48"/>
        <v>0</v>
      </c>
      <c r="CU96" s="174">
        <f t="shared" ref="CU96:CX96" si="49">SUM(CU88:CU95)*$C$30</f>
        <v>0</v>
      </c>
      <c r="CV96" s="174">
        <f t="shared" si="49"/>
        <v>0</v>
      </c>
      <c r="CW96" s="174">
        <f t="shared" si="49"/>
        <v>0</v>
      </c>
      <c r="CX96" s="175">
        <f t="shared" si="49"/>
        <v>0</v>
      </c>
    </row>
    <row r="97" spans="1:102" ht="20" customHeight="1">
      <c r="A97" s="170"/>
      <c r="B97" s="113"/>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09"/>
      <c r="BL97" s="109"/>
      <c r="BM97" s="109"/>
      <c r="BN97" s="109"/>
      <c r="BO97" s="109"/>
      <c r="BP97" s="109"/>
      <c r="BQ97" s="109"/>
      <c r="BR97" s="109"/>
      <c r="BS97" s="109"/>
      <c r="BT97" s="109"/>
      <c r="BU97" s="109"/>
      <c r="BV97" s="109"/>
      <c r="BW97" s="109"/>
      <c r="BX97" s="109"/>
      <c r="BY97" s="109"/>
      <c r="BZ97" s="109"/>
      <c r="CA97" s="109"/>
      <c r="CB97" s="109"/>
      <c r="CC97" s="109"/>
      <c r="CD97" s="109"/>
      <c r="CE97" s="109"/>
      <c r="CF97" s="109"/>
      <c r="CG97" s="109"/>
      <c r="CH97" s="109"/>
      <c r="CI97" s="109"/>
      <c r="CJ97" s="109"/>
      <c r="CK97" s="109"/>
      <c r="CL97" s="109"/>
      <c r="CM97" s="109"/>
      <c r="CN97" s="109"/>
      <c r="CO97" s="109"/>
      <c r="CP97" s="109"/>
      <c r="CQ97" s="109"/>
      <c r="CR97" s="109"/>
      <c r="CS97" s="109"/>
      <c r="CT97" s="109"/>
      <c r="CU97" s="109"/>
      <c r="CV97" s="109"/>
      <c r="CW97" s="109"/>
      <c r="CX97" s="109"/>
    </row>
    <row r="98" spans="1:102" ht="20" customHeight="1">
      <c r="A98" s="109"/>
      <c r="B98" s="166" t="str">
        <f>"Operating Expenses in Real "&amp;C37&amp;"$"</f>
        <v>Operating Expenses in Real 2024$</v>
      </c>
      <c r="C98" s="176"/>
      <c r="D98" s="176"/>
      <c r="E98" s="176"/>
      <c r="F98" s="176"/>
      <c r="G98" s="176"/>
      <c r="H98" s="176"/>
      <c r="I98" s="176"/>
      <c r="J98" s="176"/>
      <c r="K98" s="176"/>
      <c r="L98" s="176"/>
      <c r="M98" s="176"/>
      <c r="N98" s="176"/>
      <c r="O98" s="176"/>
      <c r="P98" s="176"/>
      <c r="Q98" s="176"/>
      <c r="R98" s="176"/>
      <c r="S98" s="176"/>
      <c r="T98" s="176"/>
      <c r="U98" s="176"/>
      <c r="V98" s="176"/>
      <c r="W98" s="176"/>
      <c r="X98" s="176"/>
      <c r="Y98" s="176"/>
      <c r="Z98" s="176"/>
      <c r="AA98" s="176"/>
      <c r="AB98" s="176"/>
      <c r="AC98" s="176"/>
      <c r="AD98" s="176"/>
      <c r="AE98" s="176"/>
      <c r="AF98" s="176"/>
      <c r="AG98" s="176"/>
      <c r="AH98" s="176"/>
      <c r="AI98" s="176"/>
      <c r="AJ98" s="176"/>
      <c r="AK98" s="176"/>
      <c r="AL98" s="176"/>
      <c r="AM98" s="176"/>
      <c r="AN98" s="176"/>
      <c r="AO98" s="176"/>
      <c r="AP98" s="176"/>
      <c r="AQ98" s="176"/>
      <c r="AR98" s="176"/>
      <c r="AS98" s="176"/>
      <c r="AT98" s="176"/>
      <c r="AU98" s="176"/>
      <c r="AV98" s="176"/>
      <c r="AW98" s="176"/>
      <c r="AX98" s="176"/>
      <c r="AY98" s="176"/>
      <c r="AZ98" s="176"/>
      <c r="BA98" s="176"/>
      <c r="BB98" s="176"/>
      <c r="BC98" s="176"/>
      <c r="BD98" s="176"/>
      <c r="BE98" s="176"/>
      <c r="BF98" s="176"/>
      <c r="BG98" s="176"/>
      <c r="BH98" s="176"/>
      <c r="BI98" s="176"/>
      <c r="BJ98" s="176"/>
      <c r="BK98" s="176"/>
      <c r="BL98" s="176"/>
      <c r="BM98" s="176"/>
      <c r="BN98" s="176"/>
      <c r="BO98" s="176"/>
      <c r="BP98" s="176"/>
      <c r="BQ98" s="176"/>
      <c r="BR98" s="176"/>
      <c r="BS98" s="176"/>
      <c r="BT98" s="176"/>
      <c r="BU98" s="176"/>
      <c r="BV98" s="176"/>
      <c r="BW98" s="176"/>
      <c r="BX98" s="176"/>
      <c r="BY98" s="176"/>
      <c r="BZ98" s="176"/>
      <c r="CA98" s="176"/>
      <c r="CB98" s="176"/>
      <c r="CC98" s="176"/>
      <c r="CD98" s="176"/>
      <c r="CE98" s="176"/>
      <c r="CF98" s="176"/>
      <c r="CG98" s="176"/>
      <c r="CH98" s="176"/>
      <c r="CI98" s="176"/>
      <c r="CJ98" s="176"/>
      <c r="CK98" s="176"/>
      <c r="CL98" s="176"/>
      <c r="CM98" s="176"/>
      <c r="CN98" s="176"/>
      <c r="CO98" s="176"/>
      <c r="CP98" s="176"/>
      <c r="CQ98" s="176"/>
      <c r="CR98" s="176"/>
      <c r="CS98" s="176"/>
      <c r="CT98" s="176"/>
      <c r="CU98" s="176"/>
      <c r="CV98" s="176"/>
      <c r="CW98" s="176"/>
      <c r="CX98" s="177"/>
    </row>
    <row r="99" spans="1:102" ht="20" customHeight="1">
      <c r="A99" s="170">
        <f t="shared" ref="A99:A109" si="50">SUM(C99:CX99)</f>
        <v>75817470.602539271</v>
      </c>
      <c r="B99" s="178" t="str">
        <f>B64</f>
        <v>Electricity</v>
      </c>
      <c r="C99" s="109">
        <f t="shared" ref="C99:AH99" si="51">IF(AND(C$84&gt;=$C$41,C$84&lt;=$C$42),$C64,0)</f>
        <v>0</v>
      </c>
      <c r="D99" s="109">
        <f t="shared" si="51"/>
        <v>0</v>
      </c>
      <c r="E99" s="109">
        <f t="shared" si="51"/>
        <v>2527249.0200846419</v>
      </c>
      <c r="F99" s="109">
        <f t="shared" si="51"/>
        <v>2527249.0200846419</v>
      </c>
      <c r="G99" s="109">
        <f t="shared" si="51"/>
        <v>2527249.0200846419</v>
      </c>
      <c r="H99" s="109">
        <f t="shared" si="51"/>
        <v>2527249.0200846419</v>
      </c>
      <c r="I99" s="109">
        <f t="shared" si="51"/>
        <v>2527249.0200846419</v>
      </c>
      <c r="J99" s="109">
        <f t="shared" si="51"/>
        <v>2527249.0200846419</v>
      </c>
      <c r="K99" s="109">
        <f t="shared" si="51"/>
        <v>2527249.0200846419</v>
      </c>
      <c r="L99" s="109">
        <f t="shared" si="51"/>
        <v>2527249.0200846419</v>
      </c>
      <c r="M99" s="109">
        <f t="shared" si="51"/>
        <v>2527249.0200846419</v>
      </c>
      <c r="N99" s="109">
        <f t="shared" si="51"/>
        <v>2527249.0200846419</v>
      </c>
      <c r="O99" s="109">
        <f t="shared" si="51"/>
        <v>2527249.0200846419</v>
      </c>
      <c r="P99" s="109">
        <f t="shared" si="51"/>
        <v>2527249.0200846419</v>
      </c>
      <c r="Q99" s="109">
        <f t="shared" si="51"/>
        <v>2527249.0200846419</v>
      </c>
      <c r="R99" s="109">
        <f t="shared" si="51"/>
        <v>2527249.0200846419</v>
      </c>
      <c r="S99" s="109">
        <f t="shared" si="51"/>
        <v>2527249.0200846419</v>
      </c>
      <c r="T99" s="109">
        <f t="shared" si="51"/>
        <v>2527249.0200846419</v>
      </c>
      <c r="U99" s="109">
        <f t="shared" si="51"/>
        <v>2527249.0200846419</v>
      </c>
      <c r="V99" s="109">
        <f t="shared" si="51"/>
        <v>2527249.0200846419</v>
      </c>
      <c r="W99" s="109">
        <f t="shared" si="51"/>
        <v>2527249.0200846419</v>
      </c>
      <c r="X99" s="109">
        <f t="shared" si="51"/>
        <v>2527249.0200846419</v>
      </c>
      <c r="Y99" s="109">
        <f t="shared" si="51"/>
        <v>2527249.0200846419</v>
      </c>
      <c r="Z99" s="109">
        <f t="shared" si="51"/>
        <v>2527249.0200846419</v>
      </c>
      <c r="AA99" s="109">
        <f t="shared" si="51"/>
        <v>2527249.0200846419</v>
      </c>
      <c r="AB99" s="109">
        <f t="shared" si="51"/>
        <v>2527249.0200846419</v>
      </c>
      <c r="AC99" s="109">
        <f t="shared" si="51"/>
        <v>2527249.0200846419</v>
      </c>
      <c r="AD99" s="109">
        <f t="shared" si="51"/>
        <v>2527249.0200846419</v>
      </c>
      <c r="AE99" s="109">
        <f t="shared" si="51"/>
        <v>2527249.0200846419</v>
      </c>
      <c r="AF99" s="109">
        <f t="shared" si="51"/>
        <v>2527249.0200846419</v>
      </c>
      <c r="AG99" s="109">
        <f t="shared" si="51"/>
        <v>2527249.0200846419</v>
      </c>
      <c r="AH99" s="109">
        <f t="shared" si="51"/>
        <v>2527249.0200846419</v>
      </c>
      <c r="AI99" s="109">
        <f t="shared" ref="AI99:BN99" si="52">IF(AND(AI$84&gt;=$C$41,AI$84&lt;=$C$42),$C64,0)</f>
        <v>0</v>
      </c>
      <c r="AJ99" s="109">
        <f t="shared" si="52"/>
        <v>0</v>
      </c>
      <c r="AK99" s="109">
        <f t="shared" si="52"/>
        <v>0</v>
      </c>
      <c r="AL99" s="109">
        <f t="shared" si="52"/>
        <v>0</v>
      </c>
      <c r="AM99" s="109">
        <f t="shared" si="52"/>
        <v>0</v>
      </c>
      <c r="AN99" s="109">
        <f t="shared" si="52"/>
        <v>0</v>
      </c>
      <c r="AO99" s="109">
        <f t="shared" si="52"/>
        <v>0</v>
      </c>
      <c r="AP99" s="109">
        <f t="shared" si="52"/>
        <v>0</v>
      </c>
      <c r="AQ99" s="109">
        <f t="shared" si="52"/>
        <v>0</v>
      </c>
      <c r="AR99" s="109">
        <f t="shared" si="52"/>
        <v>0</v>
      </c>
      <c r="AS99" s="109">
        <f t="shared" si="52"/>
        <v>0</v>
      </c>
      <c r="AT99" s="109">
        <f t="shared" si="52"/>
        <v>0</v>
      </c>
      <c r="AU99" s="109">
        <f t="shared" si="52"/>
        <v>0</v>
      </c>
      <c r="AV99" s="109">
        <f t="shared" si="52"/>
        <v>0</v>
      </c>
      <c r="AW99" s="109">
        <f t="shared" si="52"/>
        <v>0</v>
      </c>
      <c r="AX99" s="109">
        <f t="shared" si="52"/>
        <v>0</v>
      </c>
      <c r="AY99" s="109">
        <f t="shared" si="52"/>
        <v>0</v>
      </c>
      <c r="AZ99" s="109">
        <f t="shared" si="52"/>
        <v>0</v>
      </c>
      <c r="BA99" s="109">
        <f t="shared" si="52"/>
        <v>0</v>
      </c>
      <c r="BB99" s="109">
        <f t="shared" si="52"/>
        <v>0</v>
      </c>
      <c r="BC99" s="109">
        <f t="shared" si="52"/>
        <v>0</v>
      </c>
      <c r="BD99" s="109">
        <f t="shared" si="52"/>
        <v>0</v>
      </c>
      <c r="BE99" s="109">
        <f t="shared" si="52"/>
        <v>0</v>
      </c>
      <c r="BF99" s="109">
        <f t="shared" si="52"/>
        <v>0</v>
      </c>
      <c r="BG99" s="109">
        <f t="shared" si="52"/>
        <v>0</v>
      </c>
      <c r="BH99" s="109">
        <f t="shared" si="52"/>
        <v>0</v>
      </c>
      <c r="BI99" s="109">
        <f t="shared" si="52"/>
        <v>0</v>
      </c>
      <c r="BJ99" s="109">
        <f t="shared" si="52"/>
        <v>0</v>
      </c>
      <c r="BK99" s="109">
        <f t="shared" si="52"/>
        <v>0</v>
      </c>
      <c r="BL99" s="109">
        <f t="shared" si="52"/>
        <v>0</v>
      </c>
      <c r="BM99" s="109">
        <f t="shared" si="52"/>
        <v>0</v>
      </c>
      <c r="BN99" s="109">
        <f t="shared" si="52"/>
        <v>0</v>
      </c>
      <c r="BO99" s="109">
        <f t="shared" ref="BO99:CX99" si="53">IF(AND(BO$84&gt;=$C$41,BO$84&lt;=$C$42),$C64,0)</f>
        <v>0</v>
      </c>
      <c r="BP99" s="109">
        <f t="shared" si="53"/>
        <v>0</v>
      </c>
      <c r="BQ99" s="109">
        <f t="shared" si="53"/>
        <v>0</v>
      </c>
      <c r="BR99" s="109">
        <f t="shared" si="53"/>
        <v>0</v>
      </c>
      <c r="BS99" s="109">
        <f t="shared" si="53"/>
        <v>0</v>
      </c>
      <c r="BT99" s="109">
        <f t="shared" si="53"/>
        <v>0</v>
      </c>
      <c r="BU99" s="109">
        <f t="shared" si="53"/>
        <v>0</v>
      </c>
      <c r="BV99" s="109">
        <f t="shared" si="53"/>
        <v>0</v>
      </c>
      <c r="BW99" s="109">
        <f t="shared" si="53"/>
        <v>0</v>
      </c>
      <c r="BX99" s="109">
        <f t="shared" si="53"/>
        <v>0</v>
      </c>
      <c r="BY99" s="109">
        <f t="shared" si="53"/>
        <v>0</v>
      </c>
      <c r="BZ99" s="109">
        <f t="shared" si="53"/>
        <v>0</v>
      </c>
      <c r="CA99" s="109">
        <f t="shared" si="53"/>
        <v>0</v>
      </c>
      <c r="CB99" s="109">
        <f t="shared" si="53"/>
        <v>0</v>
      </c>
      <c r="CC99" s="109">
        <f t="shared" si="53"/>
        <v>0</v>
      </c>
      <c r="CD99" s="109">
        <f t="shared" si="53"/>
        <v>0</v>
      </c>
      <c r="CE99" s="109">
        <f t="shared" si="53"/>
        <v>0</v>
      </c>
      <c r="CF99" s="109">
        <f t="shared" si="53"/>
        <v>0</v>
      </c>
      <c r="CG99" s="109">
        <f t="shared" si="53"/>
        <v>0</v>
      </c>
      <c r="CH99" s="109">
        <f t="shared" si="53"/>
        <v>0</v>
      </c>
      <c r="CI99" s="109">
        <f t="shared" si="53"/>
        <v>0</v>
      </c>
      <c r="CJ99" s="109">
        <f t="shared" si="53"/>
        <v>0</v>
      </c>
      <c r="CK99" s="109">
        <f t="shared" si="53"/>
        <v>0</v>
      </c>
      <c r="CL99" s="109">
        <f t="shared" si="53"/>
        <v>0</v>
      </c>
      <c r="CM99" s="109">
        <f t="shared" si="53"/>
        <v>0</v>
      </c>
      <c r="CN99" s="109">
        <f t="shared" si="53"/>
        <v>0</v>
      </c>
      <c r="CO99" s="109">
        <f t="shared" si="53"/>
        <v>0</v>
      </c>
      <c r="CP99" s="109">
        <f t="shared" si="53"/>
        <v>0</v>
      </c>
      <c r="CQ99" s="109">
        <f t="shared" si="53"/>
        <v>0</v>
      </c>
      <c r="CR99" s="109">
        <f t="shared" si="53"/>
        <v>0</v>
      </c>
      <c r="CS99" s="109">
        <f t="shared" si="53"/>
        <v>0</v>
      </c>
      <c r="CT99" s="109">
        <f t="shared" si="53"/>
        <v>0</v>
      </c>
      <c r="CU99" s="109">
        <f t="shared" si="53"/>
        <v>0</v>
      </c>
      <c r="CV99" s="109">
        <f t="shared" si="53"/>
        <v>0</v>
      </c>
      <c r="CW99" s="109">
        <f t="shared" si="53"/>
        <v>0</v>
      </c>
      <c r="CX99" s="172">
        <f t="shared" si="53"/>
        <v>0</v>
      </c>
    </row>
    <row r="100" spans="1:102" ht="20" customHeight="1">
      <c r="A100" s="170">
        <f t="shared" si="50"/>
        <v>38037599.540307246</v>
      </c>
      <c r="B100" s="178" t="str">
        <f>B65</f>
        <v>Fuel</v>
      </c>
      <c r="C100" s="109">
        <f t="shared" ref="C100:AH100" si="54">IF(AND(C$84&gt;=$C$41,C$84&lt;=$C$42),$C65,0)</f>
        <v>0</v>
      </c>
      <c r="D100" s="109">
        <f t="shared" si="54"/>
        <v>0</v>
      </c>
      <c r="E100" s="109">
        <f t="shared" si="54"/>
        <v>1267919.9846769085</v>
      </c>
      <c r="F100" s="109">
        <f t="shared" si="54"/>
        <v>1267919.9846769085</v>
      </c>
      <c r="G100" s="109">
        <f t="shared" si="54"/>
        <v>1267919.9846769085</v>
      </c>
      <c r="H100" s="109">
        <f t="shared" si="54"/>
        <v>1267919.9846769085</v>
      </c>
      <c r="I100" s="109">
        <f t="shared" si="54"/>
        <v>1267919.9846769085</v>
      </c>
      <c r="J100" s="109">
        <f t="shared" si="54"/>
        <v>1267919.9846769085</v>
      </c>
      <c r="K100" s="109">
        <f t="shared" si="54"/>
        <v>1267919.9846769085</v>
      </c>
      <c r="L100" s="109">
        <f t="shared" si="54"/>
        <v>1267919.9846769085</v>
      </c>
      <c r="M100" s="109">
        <f t="shared" si="54"/>
        <v>1267919.9846769085</v>
      </c>
      <c r="N100" s="109">
        <f t="shared" si="54"/>
        <v>1267919.9846769085</v>
      </c>
      <c r="O100" s="109">
        <f t="shared" si="54"/>
        <v>1267919.9846769085</v>
      </c>
      <c r="P100" s="109">
        <f t="shared" si="54"/>
        <v>1267919.9846769085</v>
      </c>
      <c r="Q100" s="109">
        <f t="shared" si="54"/>
        <v>1267919.9846769085</v>
      </c>
      <c r="R100" s="109">
        <f t="shared" si="54"/>
        <v>1267919.9846769085</v>
      </c>
      <c r="S100" s="109">
        <f t="shared" si="54"/>
        <v>1267919.9846769085</v>
      </c>
      <c r="T100" s="109">
        <f t="shared" si="54"/>
        <v>1267919.9846769085</v>
      </c>
      <c r="U100" s="109">
        <f t="shared" si="54"/>
        <v>1267919.9846769085</v>
      </c>
      <c r="V100" s="109">
        <f t="shared" si="54"/>
        <v>1267919.9846769085</v>
      </c>
      <c r="W100" s="109">
        <f t="shared" si="54"/>
        <v>1267919.9846769085</v>
      </c>
      <c r="X100" s="109">
        <f t="shared" si="54"/>
        <v>1267919.9846769085</v>
      </c>
      <c r="Y100" s="109">
        <f t="shared" si="54"/>
        <v>1267919.9846769085</v>
      </c>
      <c r="Z100" s="109">
        <f t="shared" si="54"/>
        <v>1267919.9846769085</v>
      </c>
      <c r="AA100" s="109">
        <f t="shared" si="54"/>
        <v>1267919.9846769085</v>
      </c>
      <c r="AB100" s="109">
        <f t="shared" si="54"/>
        <v>1267919.9846769085</v>
      </c>
      <c r="AC100" s="109">
        <f t="shared" si="54"/>
        <v>1267919.9846769085</v>
      </c>
      <c r="AD100" s="109">
        <f t="shared" si="54"/>
        <v>1267919.9846769085</v>
      </c>
      <c r="AE100" s="109">
        <f t="shared" si="54"/>
        <v>1267919.9846769085</v>
      </c>
      <c r="AF100" s="109">
        <f t="shared" si="54"/>
        <v>1267919.9846769085</v>
      </c>
      <c r="AG100" s="109">
        <f t="shared" si="54"/>
        <v>1267919.9846769085</v>
      </c>
      <c r="AH100" s="109">
        <f t="shared" si="54"/>
        <v>1267919.9846769085</v>
      </c>
      <c r="AI100" s="109">
        <f t="shared" ref="AI100:BN100" si="55">IF(AND(AI$84&gt;=$C$41,AI$84&lt;=$C$42),$C65,0)</f>
        <v>0</v>
      </c>
      <c r="AJ100" s="109">
        <f t="shared" si="55"/>
        <v>0</v>
      </c>
      <c r="AK100" s="109">
        <f t="shared" si="55"/>
        <v>0</v>
      </c>
      <c r="AL100" s="109">
        <f t="shared" si="55"/>
        <v>0</v>
      </c>
      <c r="AM100" s="109">
        <f t="shared" si="55"/>
        <v>0</v>
      </c>
      <c r="AN100" s="109">
        <f t="shared" si="55"/>
        <v>0</v>
      </c>
      <c r="AO100" s="109">
        <f t="shared" si="55"/>
        <v>0</v>
      </c>
      <c r="AP100" s="109">
        <f t="shared" si="55"/>
        <v>0</v>
      </c>
      <c r="AQ100" s="109">
        <f t="shared" si="55"/>
        <v>0</v>
      </c>
      <c r="AR100" s="109">
        <f t="shared" si="55"/>
        <v>0</v>
      </c>
      <c r="AS100" s="109">
        <f t="shared" si="55"/>
        <v>0</v>
      </c>
      <c r="AT100" s="109">
        <f t="shared" si="55"/>
        <v>0</v>
      </c>
      <c r="AU100" s="109">
        <f t="shared" si="55"/>
        <v>0</v>
      </c>
      <c r="AV100" s="109">
        <f t="shared" si="55"/>
        <v>0</v>
      </c>
      <c r="AW100" s="109">
        <f t="shared" si="55"/>
        <v>0</v>
      </c>
      <c r="AX100" s="109">
        <f t="shared" si="55"/>
        <v>0</v>
      </c>
      <c r="AY100" s="109">
        <f t="shared" si="55"/>
        <v>0</v>
      </c>
      <c r="AZ100" s="109">
        <f t="shared" si="55"/>
        <v>0</v>
      </c>
      <c r="BA100" s="109">
        <f t="shared" si="55"/>
        <v>0</v>
      </c>
      <c r="BB100" s="109">
        <f t="shared" si="55"/>
        <v>0</v>
      </c>
      <c r="BC100" s="109">
        <f t="shared" si="55"/>
        <v>0</v>
      </c>
      <c r="BD100" s="109">
        <f t="shared" si="55"/>
        <v>0</v>
      </c>
      <c r="BE100" s="109">
        <f t="shared" si="55"/>
        <v>0</v>
      </c>
      <c r="BF100" s="109">
        <f t="shared" si="55"/>
        <v>0</v>
      </c>
      <c r="BG100" s="109">
        <f t="shared" si="55"/>
        <v>0</v>
      </c>
      <c r="BH100" s="109">
        <f t="shared" si="55"/>
        <v>0</v>
      </c>
      <c r="BI100" s="109">
        <f t="shared" si="55"/>
        <v>0</v>
      </c>
      <c r="BJ100" s="109">
        <f t="shared" si="55"/>
        <v>0</v>
      </c>
      <c r="BK100" s="109">
        <f t="shared" si="55"/>
        <v>0</v>
      </c>
      <c r="BL100" s="109">
        <f t="shared" si="55"/>
        <v>0</v>
      </c>
      <c r="BM100" s="109">
        <f t="shared" si="55"/>
        <v>0</v>
      </c>
      <c r="BN100" s="109">
        <f t="shared" si="55"/>
        <v>0</v>
      </c>
      <c r="BO100" s="109">
        <f t="shared" ref="BO100:CX100" si="56">IF(AND(BO$84&gt;=$C$41,BO$84&lt;=$C$42),$C65,0)</f>
        <v>0</v>
      </c>
      <c r="BP100" s="109">
        <f t="shared" si="56"/>
        <v>0</v>
      </c>
      <c r="BQ100" s="109">
        <f t="shared" si="56"/>
        <v>0</v>
      </c>
      <c r="BR100" s="109">
        <f t="shared" si="56"/>
        <v>0</v>
      </c>
      <c r="BS100" s="109">
        <f t="shared" si="56"/>
        <v>0</v>
      </c>
      <c r="BT100" s="109">
        <f t="shared" si="56"/>
        <v>0</v>
      </c>
      <c r="BU100" s="109">
        <f t="shared" si="56"/>
        <v>0</v>
      </c>
      <c r="BV100" s="109">
        <f t="shared" si="56"/>
        <v>0</v>
      </c>
      <c r="BW100" s="109">
        <f t="shared" si="56"/>
        <v>0</v>
      </c>
      <c r="BX100" s="109">
        <f t="shared" si="56"/>
        <v>0</v>
      </c>
      <c r="BY100" s="109">
        <f t="shared" si="56"/>
        <v>0</v>
      </c>
      <c r="BZ100" s="109">
        <f t="shared" si="56"/>
        <v>0</v>
      </c>
      <c r="CA100" s="109">
        <f t="shared" si="56"/>
        <v>0</v>
      </c>
      <c r="CB100" s="109">
        <f t="shared" si="56"/>
        <v>0</v>
      </c>
      <c r="CC100" s="109">
        <f t="shared" si="56"/>
        <v>0</v>
      </c>
      <c r="CD100" s="109">
        <f t="shared" si="56"/>
        <v>0</v>
      </c>
      <c r="CE100" s="109">
        <f t="shared" si="56"/>
        <v>0</v>
      </c>
      <c r="CF100" s="109">
        <f t="shared" si="56"/>
        <v>0</v>
      </c>
      <c r="CG100" s="109">
        <f t="shared" si="56"/>
        <v>0</v>
      </c>
      <c r="CH100" s="109">
        <f t="shared" si="56"/>
        <v>0</v>
      </c>
      <c r="CI100" s="109">
        <f t="shared" si="56"/>
        <v>0</v>
      </c>
      <c r="CJ100" s="109">
        <f t="shared" si="56"/>
        <v>0</v>
      </c>
      <c r="CK100" s="109">
        <f t="shared" si="56"/>
        <v>0</v>
      </c>
      <c r="CL100" s="109">
        <f t="shared" si="56"/>
        <v>0</v>
      </c>
      <c r="CM100" s="109">
        <f t="shared" si="56"/>
        <v>0</v>
      </c>
      <c r="CN100" s="109">
        <f t="shared" si="56"/>
        <v>0</v>
      </c>
      <c r="CO100" s="109">
        <f t="shared" si="56"/>
        <v>0</v>
      </c>
      <c r="CP100" s="109">
        <f t="shared" si="56"/>
        <v>0</v>
      </c>
      <c r="CQ100" s="109">
        <f t="shared" si="56"/>
        <v>0</v>
      </c>
      <c r="CR100" s="109">
        <f t="shared" si="56"/>
        <v>0</v>
      </c>
      <c r="CS100" s="109">
        <f t="shared" si="56"/>
        <v>0</v>
      </c>
      <c r="CT100" s="109">
        <f t="shared" si="56"/>
        <v>0</v>
      </c>
      <c r="CU100" s="109">
        <f t="shared" si="56"/>
        <v>0</v>
      </c>
      <c r="CV100" s="109">
        <f t="shared" si="56"/>
        <v>0</v>
      </c>
      <c r="CW100" s="109">
        <f t="shared" si="56"/>
        <v>0</v>
      </c>
      <c r="CX100" s="172">
        <f t="shared" si="56"/>
        <v>0</v>
      </c>
    </row>
    <row r="101" spans="1:102" ht="20" customHeight="1">
      <c r="A101" s="170">
        <f t="shared" si="50"/>
        <v>1194323.2448016524</v>
      </c>
      <c r="B101" s="178" t="str">
        <f>B66</f>
        <v>Makeup Water</v>
      </c>
      <c r="C101" s="109">
        <f t="shared" ref="C101:AH101" si="57">IF(AND(C$84&gt;=$C$41,C$84&lt;=$C$42),$C66,0)</f>
        <v>0</v>
      </c>
      <c r="D101" s="109">
        <f t="shared" si="57"/>
        <v>0</v>
      </c>
      <c r="E101" s="109">
        <f t="shared" si="57"/>
        <v>39810.774826721747</v>
      </c>
      <c r="F101" s="109">
        <f t="shared" si="57"/>
        <v>39810.774826721747</v>
      </c>
      <c r="G101" s="109">
        <f t="shared" si="57"/>
        <v>39810.774826721747</v>
      </c>
      <c r="H101" s="109">
        <f t="shared" si="57"/>
        <v>39810.774826721747</v>
      </c>
      <c r="I101" s="109">
        <f t="shared" si="57"/>
        <v>39810.774826721747</v>
      </c>
      <c r="J101" s="109">
        <f t="shared" si="57"/>
        <v>39810.774826721747</v>
      </c>
      <c r="K101" s="109">
        <f t="shared" si="57"/>
        <v>39810.774826721747</v>
      </c>
      <c r="L101" s="109">
        <f t="shared" si="57"/>
        <v>39810.774826721747</v>
      </c>
      <c r="M101" s="109">
        <f t="shared" si="57"/>
        <v>39810.774826721747</v>
      </c>
      <c r="N101" s="109">
        <f t="shared" si="57"/>
        <v>39810.774826721747</v>
      </c>
      <c r="O101" s="109">
        <f t="shared" si="57"/>
        <v>39810.774826721747</v>
      </c>
      <c r="P101" s="109">
        <f t="shared" si="57"/>
        <v>39810.774826721747</v>
      </c>
      <c r="Q101" s="109">
        <f t="shared" si="57"/>
        <v>39810.774826721747</v>
      </c>
      <c r="R101" s="109">
        <f t="shared" si="57"/>
        <v>39810.774826721747</v>
      </c>
      <c r="S101" s="109">
        <f t="shared" si="57"/>
        <v>39810.774826721747</v>
      </c>
      <c r="T101" s="109">
        <f t="shared" si="57"/>
        <v>39810.774826721747</v>
      </c>
      <c r="U101" s="109">
        <f t="shared" si="57"/>
        <v>39810.774826721747</v>
      </c>
      <c r="V101" s="109">
        <f t="shared" si="57"/>
        <v>39810.774826721747</v>
      </c>
      <c r="W101" s="109">
        <f t="shared" si="57"/>
        <v>39810.774826721747</v>
      </c>
      <c r="X101" s="109">
        <f t="shared" si="57"/>
        <v>39810.774826721747</v>
      </c>
      <c r="Y101" s="109">
        <f t="shared" si="57"/>
        <v>39810.774826721747</v>
      </c>
      <c r="Z101" s="109">
        <f t="shared" si="57"/>
        <v>39810.774826721747</v>
      </c>
      <c r="AA101" s="109">
        <f t="shared" si="57"/>
        <v>39810.774826721747</v>
      </c>
      <c r="AB101" s="109">
        <f t="shared" si="57"/>
        <v>39810.774826721747</v>
      </c>
      <c r="AC101" s="109">
        <f t="shared" si="57"/>
        <v>39810.774826721747</v>
      </c>
      <c r="AD101" s="109">
        <f t="shared" si="57"/>
        <v>39810.774826721747</v>
      </c>
      <c r="AE101" s="109">
        <f t="shared" si="57"/>
        <v>39810.774826721747</v>
      </c>
      <c r="AF101" s="109">
        <f t="shared" si="57"/>
        <v>39810.774826721747</v>
      </c>
      <c r="AG101" s="109">
        <f t="shared" si="57"/>
        <v>39810.774826721747</v>
      </c>
      <c r="AH101" s="109">
        <f t="shared" si="57"/>
        <v>39810.774826721747</v>
      </c>
      <c r="AI101" s="109">
        <f t="shared" ref="AI101:BN101" si="58">IF(AND(AI$84&gt;=$C$41,AI$84&lt;=$C$42),$C66,0)</f>
        <v>0</v>
      </c>
      <c r="AJ101" s="109">
        <f t="shared" si="58"/>
        <v>0</v>
      </c>
      <c r="AK101" s="109">
        <f t="shared" si="58"/>
        <v>0</v>
      </c>
      <c r="AL101" s="109">
        <f t="shared" si="58"/>
        <v>0</v>
      </c>
      <c r="AM101" s="109">
        <f t="shared" si="58"/>
        <v>0</v>
      </c>
      <c r="AN101" s="109">
        <f t="shared" si="58"/>
        <v>0</v>
      </c>
      <c r="AO101" s="109">
        <f t="shared" si="58"/>
        <v>0</v>
      </c>
      <c r="AP101" s="109">
        <f t="shared" si="58"/>
        <v>0</v>
      </c>
      <c r="AQ101" s="109">
        <f t="shared" si="58"/>
        <v>0</v>
      </c>
      <c r="AR101" s="109">
        <f t="shared" si="58"/>
        <v>0</v>
      </c>
      <c r="AS101" s="109">
        <f t="shared" si="58"/>
        <v>0</v>
      </c>
      <c r="AT101" s="109">
        <f t="shared" si="58"/>
        <v>0</v>
      </c>
      <c r="AU101" s="109">
        <f t="shared" si="58"/>
        <v>0</v>
      </c>
      <c r="AV101" s="109">
        <f t="shared" si="58"/>
        <v>0</v>
      </c>
      <c r="AW101" s="109">
        <f t="shared" si="58"/>
        <v>0</v>
      </c>
      <c r="AX101" s="109">
        <f t="shared" si="58"/>
        <v>0</v>
      </c>
      <c r="AY101" s="109">
        <f t="shared" si="58"/>
        <v>0</v>
      </c>
      <c r="AZ101" s="109">
        <f t="shared" si="58"/>
        <v>0</v>
      </c>
      <c r="BA101" s="109">
        <f t="shared" si="58"/>
        <v>0</v>
      </c>
      <c r="BB101" s="109">
        <f t="shared" si="58"/>
        <v>0</v>
      </c>
      <c r="BC101" s="109">
        <f t="shared" si="58"/>
        <v>0</v>
      </c>
      <c r="BD101" s="109">
        <f t="shared" si="58"/>
        <v>0</v>
      </c>
      <c r="BE101" s="109">
        <f t="shared" si="58"/>
        <v>0</v>
      </c>
      <c r="BF101" s="109">
        <f t="shared" si="58"/>
        <v>0</v>
      </c>
      <c r="BG101" s="109">
        <f t="shared" si="58"/>
        <v>0</v>
      </c>
      <c r="BH101" s="109">
        <f t="shared" si="58"/>
        <v>0</v>
      </c>
      <c r="BI101" s="109">
        <f t="shared" si="58"/>
        <v>0</v>
      </c>
      <c r="BJ101" s="109">
        <f t="shared" si="58"/>
        <v>0</v>
      </c>
      <c r="BK101" s="109">
        <f t="shared" si="58"/>
        <v>0</v>
      </c>
      <c r="BL101" s="109">
        <f t="shared" si="58"/>
        <v>0</v>
      </c>
      <c r="BM101" s="109">
        <f t="shared" si="58"/>
        <v>0</v>
      </c>
      <c r="BN101" s="109">
        <f t="shared" si="58"/>
        <v>0</v>
      </c>
      <c r="BO101" s="109">
        <f t="shared" ref="BO101:CX101" si="59">IF(AND(BO$84&gt;=$C$41,BO$84&lt;=$C$42),$C66,0)</f>
        <v>0</v>
      </c>
      <c r="BP101" s="109">
        <f t="shared" si="59"/>
        <v>0</v>
      </c>
      <c r="BQ101" s="109">
        <f t="shared" si="59"/>
        <v>0</v>
      </c>
      <c r="BR101" s="109">
        <f t="shared" si="59"/>
        <v>0</v>
      </c>
      <c r="BS101" s="109">
        <f t="shared" si="59"/>
        <v>0</v>
      </c>
      <c r="BT101" s="109">
        <f t="shared" si="59"/>
        <v>0</v>
      </c>
      <c r="BU101" s="109">
        <f t="shared" si="59"/>
        <v>0</v>
      </c>
      <c r="BV101" s="109">
        <f t="shared" si="59"/>
        <v>0</v>
      </c>
      <c r="BW101" s="109">
        <f t="shared" si="59"/>
        <v>0</v>
      </c>
      <c r="BX101" s="109">
        <f t="shared" si="59"/>
        <v>0</v>
      </c>
      <c r="BY101" s="109">
        <f t="shared" si="59"/>
        <v>0</v>
      </c>
      <c r="BZ101" s="109">
        <f t="shared" si="59"/>
        <v>0</v>
      </c>
      <c r="CA101" s="109">
        <f t="shared" si="59"/>
        <v>0</v>
      </c>
      <c r="CB101" s="109">
        <f t="shared" si="59"/>
        <v>0</v>
      </c>
      <c r="CC101" s="109">
        <f t="shared" si="59"/>
        <v>0</v>
      </c>
      <c r="CD101" s="109">
        <f t="shared" si="59"/>
        <v>0</v>
      </c>
      <c r="CE101" s="109">
        <f t="shared" si="59"/>
        <v>0</v>
      </c>
      <c r="CF101" s="109">
        <f t="shared" si="59"/>
        <v>0</v>
      </c>
      <c r="CG101" s="109">
        <f t="shared" si="59"/>
        <v>0</v>
      </c>
      <c r="CH101" s="109">
        <f t="shared" si="59"/>
        <v>0</v>
      </c>
      <c r="CI101" s="109">
        <f t="shared" si="59"/>
        <v>0</v>
      </c>
      <c r="CJ101" s="109">
        <f t="shared" si="59"/>
        <v>0</v>
      </c>
      <c r="CK101" s="109">
        <f t="shared" si="59"/>
        <v>0</v>
      </c>
      <c r="CL101" s="109">
        <f t="shared" si="59"/>
        <v>0</v>
      </c>
      <c r="CM101" s="109">
        <f t="shared" si="59"/>
        <v>0</v>
      </c>
      <c r="CN101" s="109">
        <f t="shared" si="59"/>
        <v>0</v>
      </c>
      <c r="CO101" s="109">
        <f t="shared" si="59"/>
        <v>0</v>
      </c>
      <c r="CP101" s="109">
        <f t="shared" si="59"/>
        <v>0</v>
      </c>
      <c r="CQ101" s="109">
        <f t="shared" si="59"/>
        <v>0</v>
      </c>
      <c r="CR101" s="109">
        <f t="shared" si="59"/>
        <v>0</v>
      </c>
      <c r="CS101" s="109">
        <f t="shared" si="59"/>
        <v>0</v>
      </c>
      <c r="CT101" s="109">
        <f t="shared" si="59"/>
        <v>0</v>
      </c>
      <c r="CU101" s="109">
        <f t="shared" si="59"/>
        <v>0</v>
      </c>
      <c r="CV101" s="109">
        <f t="shared" si="59"/>
        <v>0</v>
      </c>
      <c r="CW101" s="109">
        <f t="shared" si="59"/>
        <v>0</v>
      </c>
      <c r="CX101" s="172">
        <f t="shared" si="59"/>
        <v>0</v>
      </c>
    </row>
    <row r="102" spans="1:102" ht="20" customHeight="1">
      <c r="A102" s="170">
        <f t="shared" si="50"/>
        <v>0</v>
      </c>
      <c r="B102" s="178" t="str">
        <f t="shared" ref="B102:B103" si="60">B67</f>
        <v>Base rate</v>
      </c>
      <c r="C102" s="109">
        <f t="shared" ref="C102:BN102" si="61">IF(AND(C$84&gt;=$C$41,C$84&lt;=$C$42),$C67,0)</f>
        <v>0</v>
      </c>
      <c r="D102" s="109">
        <f t="shared" si="61"/>
        <v>0</v>
      </c>
      <c r="E102" s="109">
        <f t="shared" si="61"/>
        <v>0</v>
      </c>
      <c r="F102" s="109">
        <f>IF(AND(F$84&gt;=$C$41,F$84&lt;=$C$42),$C67,0)</f>
        <v>0</v>
      </c>
      <c r="G102" s="109">
        <f t="shared" si="61"/>
        <v>0</v>
      </c>
      <c r="H102" s="109">
        <f t="shared" si="61"/>
        <v>0</v>
      </c>
      <c r="I102" s="109">
        <f t="shared" si="61"/>
        <v>0</v>
      </c>
      <c r="J102" s="109">
        <f t="shared" si="61"/>
        <v>0</v>
      </c>
      <c r="K102" s="109">
        <f t="shared" si="61"/>
        <v>0</v>
      </c>
      <c r="L102" s="109">
        <f t="shared" si="61"/>
        <v>0</v>
      </c>
      <c r="M102" s="109">
        <f t="shared" si="61"/>
        <v>0</v>
      </c>
      <c r="N102" s="109">
        <f t="shared" si="61"/>
        <v>0</v>
      </c>
      <c r="O102" s="109">
        <f t="shared" si="61"/>
        <v>0</v>
      </c>
      <c r="P102" s="109">
        <f t="shared" si="61"/>
        <v>0</v>
      </c>
      <c r="Q102" s="109">
        <f t="shared" si="61"/>
        <v>0</v>
      </c>
      <c r="R102" s="109">
        <f t="shared" si="61"/>
        <v>0</v>
      </c>
      <c r="S102" s="109">
        <f t="shared" si="61"/>
        <v>0</v>
      </c>
      <c r="T102" s="109">
        <f t="shared" si="61"/>
        <v>0</v>
      </c>
      <c r="U102" s="109">
        <f t="shared" si="61"/>
        <v>0</v>
      </c>
      <c r="V102" s="109">
        <f t="shared" si="61"/>
        <v>0</v>
      </c>
      <c r="W102" s="109">
        <f t="shared" si="61"/>
        <v>0</v>
      </c>
      <c r="X102" s="109">
        <f t="shared" si="61"/>
        <v>0</v>
      </c>
      <c r="Y102" s="109">
        <f t="shared" si="61"/>
        <v>0</v>
      </c>
      <c r="Z102" s="109">
        <f t="shared" si="61"/>
        <v>0</v>
      </c>
      <c r="AA102" s="109">
        <f t="shared" si="61"/>
        <v>0</v>
      </c>
      <c r="AB102" s="109">
        <f t="shared" si="61"/>
        <v>0</v>
      </c>
      <c r="AC102" s="109">
        <f t="shared" si="61"/>
        <v>0</v>
      </c>
      <c r="AD102" s="109">
        <f t="shared" si="61"/>
        <v>0</v>
      </c>
      <c r="AE102" s="109">
        <f t="shared" si="61"/>
        <v>0</v>
      </c>
      <c r="AF102" s="109">
        <f t="shared" si="61"/>
        <v>0</v>
      </c>
      <c r="AG102" s="109">
        <f t="shared" si="61"/>
        <v>0</v>
      </c>
      <c r="AH102" s="109">
        <f t="shared" si="61"/>
        <v>0</v>
      </c>
      <c r="AI102" s="109">
        <f t="shared" si="61"/>
        <v>0</v>
      </c>
      <c r="AJ102" s="109">
        <f t="shared" si="61"/>
        <v>0</v>
      </c>
      <c r="AK102" s="109">
        <f t="shared" si="61"/>
        <v>0</v>
      </c>
      <c r="AL102" s="109">
        <f t="shared" si="61"/>
        <v>0</v>
      </c>
      <c r="AM102" s="109">
        <f t="shared" si="61"/>
        <v>0</v>
      </c>
      <c r="AN102" s="109">
        <f t="shared" si="61"/>
        <v>0</v>
      </c>
      <c r="AO102" s="109">
        <f t="shared" si="61"/>
        <v>0</v>
      </c>
      <c r="AP102" s="109">
        <f t="shared" si="61"/>
        <v>0</v>
      </c>
      <c r="AQ102" s="109">
        <f t="shared" si="61"/>
        <v>0</v>
      </c>
      <c r="AR102" s="109">
        <f t="shared" si="61"/>
        <v>0</v>
      </c>
      <c r="AS102" s="109">
        <f t="shared" si="61"/>
        <v>0</v>
      </c>
      <c r="AT102" s="109">
        <f t="shared" si="61"/>
        <v>0</v>
      </c>
      <c r="AU102" s="109">
        <f t="shared" si="61"/>
        <v>0</v>
      </c>
      <c r="AV102" s="109">
        <f t="shared" si="61"/>
        <v>0</v>
      </c>
      <c r="AW102" s="109">
        <f t="shared" si="61"/>
        <v>0</v>
      </c>
      <c r="AX102" s="109">
        <f t="shared" si="61"/>
        <v>0</v>
      </c>
      <c r="AY102" s="109">
        <f t="shared" si="61"/>
        <v>0</v>
      </c>
      <c r="AZ102" s="109">
        <f t="shared" si="61"/>
        <v>0</v>
      </c>
      <c r="BA102" s="109">
        <f t="shared" si="61"/>
        <v>0</v>
      </c>
      <c r="BB102" s="109">
        <f t="shared" si="61"/>
        <v>0</v>
      </c>
      <c r="BC102" s="109">
        <f t="shared" si="61"/>
        <v>0</v>
      </c>
      <c r="BD102" s="109">
        <f t="shared" si="61"/>
        <v>0</v>
      </c>
      <c r="BE102" s="109">
        <f t="shared" si="61"/>
        <v>0</v>
      </c>
      <c r="BF102" s="109">
        <f t="shared" si="61"/>
        <v>0</v>
      </c>
      <c r="BG102" s="109">
        <f t="shared" si="61"/>
        <v>0</v>
      </c>
      <c r="BH102" s="109">
        <f t="shared" si="61"/>
        <v>0</v>
      </c>
      <c r="BI102" s="109">
        <f t="shared" si="61"/>
        <v>0</v>
      </c>
      <c r="BJ102" s="109">
        <f t="shared" si="61"/>
        <v>0</v>
      </c>
      <c r="BK102" s="109">
        <f t="shared" si="61"/>
        <v>0</v>
      </c>
      <c r="BL102" s="109">
        <f t="shared" si="61"/>
        <v>0</v>
      </c>
      <c r="BM102" s="109">
        <f t="shared" si="61"/>
        <v>0</v>
      </c>
      <c r="BN102" s="109">
        <f t="shared" si="61"/>
        <v>0</v>
      </c>
      <c r="BO102" s="109">
        <f t="shared" ref="BO102:CX102" si="62">IF(AND(BO$84&gt;=$C$41,BO$84&lt;=$C$42),$C67,0)</f>
        <v>0</v>
      </c>
      <c r="BP102" s="109">
        <f t="shared" si="62"/>
        <v>0</v>
      </c>
      <c r="BQ102" s="109">
        <f t="shared" si="62"/>
        <v>0</v>
      </c>
      <c r="BR102" s="109">
        <f t="shared" si="62"/>
        <v>0</v>
      </c>
      <c r="BS102" s="109">
        <f t="shared" si="62"/>
        <v>0</v>
      </c>
      <c r="BT102" s="109">
        <f t="shared" si="62"/>
        <v>0</v>
      </c>
      <c r="BU102" s="109">
        <f t="shared" si="62"/>
        <v>0</v>
      </c>
      <c r="BV102" s="109">
        <f t="shared" si="62"/>
        <v>0</v>
      </c>
      <c r="BW102" s="109">
        <f t="shared" si="62"/>
        <v>0</v>
      </c>
      <c r="BX102" s="109">
        <f t="shared" si="62"/>
        <v>0</v>
      </c>
      <c r="BY102" s="109">
        <f t="shared" si="62"/>
        <v>0</v>
      </c>
      <c r="BZ102" s="109">
        <f t="shared" si="62"/>
        <v>0</v>
      </c>
      <c r="CA102" s="109">
        <f t="shared" si="62"/>
        <v>0</v>
      </c>
      <c r="CB102" s="109">
        <f t="shared" si="62"/>
        <v>0</v>
      </c>
      <c r="CC102" s="109">
        <f t="shared" si="62"/>
        <v>0</v>
      </c>
      <c r="CD102" s="109">
        <f t="shared" si="62"/>
        <v>0</v>
      </c>
      <c r="CE102" s="109">
        <f t="shared" si="62"/>
        <v>0</v>
      </c>
      <c r="CF102" s="109">
        <f t="shared" si="62"/>
        <v>0</v>
      </c>
      <c r="CG102" s="109">
        <f t="shared" si="62"/>
        <v>0</v>
      </c>
      <c r="CH102" s="109">
        <f t="shared" si="62"/>
        <v>0</v>
      </c>
      <c r="CI102" s="109">
        <f t="shared" si="62"/>
        <v>0</v>
      </c>
      <c r="CJ102" s="109">
        <f t="shared" si="62"/>
        <v>0</v>
      </c>
      <c r="CK102" s="109">
        <f t="shared" si="62"/>
        <v>0</v>
      </c>
      <c r="CL102" s="109">
        <f t="shared" si="62"/>
        <v>0</v>
      </c>
      <c r="CM102" s="109">
        <f t="shared" si="62"/>
        <v>0</v>
      </c>
      <c r="CN102" s="109">
        <f t="shared" si="62"/>
        <v>0</v>
      </c>
      <c r="CO102" s="109">
        <f t="shared" si="62"/>
        <v>0</v>
      </c>
      <c r="CP102" s="109">
        <f t="shared" si="62"/>
        <v>0</v>
      </c>
      <c r="CQ102" s="109">
        <f t="shared" si="62"/>
        <v>0</v>
      </c>
      <c r="CR102" s="109">
        <f t="shared" si="62"/>
        <v>0</v>
      </c>
      <c r="CS102" s="109">
        <f t="shared" si="62"/>
        <v>0</v>
      </c>
      <c r="CT102" s="109">
        <f t="shared" si="62"/>
        <v>0</v>
      </c>
      <c r="CU102" s="109">
        <f t="shared" si="62"/>
        <v>0</v>
      </c>
      <c r="CV102" s="109">
        <f t="shared" si="62"/>
        <v>0</v>
      </c>
      <c r="CW102" s="109">
        <f t="shared" si="62"/>
        <v>0</v>
      </c>
      <c r="CX102" s="172">
        <f t="shared" si="62"/>
        <v>0</v>
      </c>
    </row>
    <row r="103" spans="1:102" ht="20" customHeight="1">
      <c r="A103" s="170">
        <f t="shared" si="50"/>
        <v>0</v>
      </c>
      <c r="B103" s="178" t="str">
        <f t="shared" si="60"/>
        <v>Fuel surcharge</v>
      </c>
      <c r="C103" s="109">
        <f t="shared" ref="C103:BN103" si="63">IF(AND(C$84&gt;=$C$41,C$84&lt;=$C$42),$C68,0)</f>
        <v>0</v>
      </c>
      <c r="D103" s="109">
        <f t="shared" si="63"/>
        <v>0</v>
      </c>
      <c r="E103" s="109">
        <f t="shared" si="63"/>
        <v>0</v>
      </c>
      <c r="F103" s="109">
        <f t="shared" si="63"/>
        <v>0</v>
      </c>
      <c r="G103" s="109">
        <f t="shared" si="63"/>
        <v>0</v>
      </c>
      <c r="H103" s="109">
        <f t="shared" si="63"/>
        <v>0</v>
      </c>
      <c r="I103" s="109">
        <f t="shared" si="63"/>
        <v>0</v>
      </c>
      <c r="J103" s="109">
        <f t="shared" si="63"/>
        <v>0</v>
      </c>
      <c r="K103" s="109">
        <f t="shared" si="63"/>
        <v>0</v>
      </c>
      <c r="L103" s="109">
        <f t="shared" si="63"/>
        <v>0</v>
      </c>
      <c r="M103" s="109">
        <f t="shared" si="63"/>
        <v>0</v>
      </c>
      <c r="N103" s="109">
        <f t="shared" si="63"/>
        <v>0</v>
      </c>
      <c r="O103" s="109">
        <f t="shared" si="63"/>
        <v>0</v>
      </c>
      <c r="P103" s="109">
        <f t="shared" si="63"/>
        <v>0</v>
      </c>
      <c r="Q103" s="109">
        <f t="shared" si="63"/>
        <v>0</v>
      </c>
      <c r="R103" s="109">
        <f t="shared" si="63"/>
        <v>0</v>
      </c>
      <c r="S103" s="109">
        <f t="shared" si="63"/>
        <v>0</v>
      </c>
      <c r="T103" s="109">
        <f t="shared" si="63"/>
        <v>0</v>
      </c>
      <c r="U103" s="109">
        <f t="shared" si="63"/>
        <v>0</v>
      </c>
      <c r="V103" s="109">
        <f t="shared" si="63"/>
        <v>0</v>
      </c>
      <c r="W103" s="109">
        <f t="shared" si="63"/>
        <v>0</v>
      </c>
      <c r="X103" s="109">
        <f t="shared" si="63"/>
        <v>0</v>
      </c>
      <c r="Y103" s="109">
        <f t="shared" si="63"/>
        <v>0</v>
      </c>
      <c r="Z103" s="109">
        <f t="shared" si="63"/>
        <v>0</v>
      </c>
      <c r="AA103" s="109">
        <f t="shared" si="63"/>
        <v>0</v>
      </c>
      <c r="AB103" s="109">
        <f t="shared" si="63"/>
        <v>0</v>
      </c>
      <c r="AC103" s="109">
        <f t="shared" si="63"/>
        <v>0</v>
      </c>
      <c r="AD103" s="109">
        <f t="shared" si="63"/>
        <v>0</v>
      </c>
      <c r="AE103" s="109">
        <f t="shared" si="63"/>
        <v>0</v>
      </c>
      <c r="AF103" s="109">
        <f t="shared" si="63"/>
        <v>0</v>
      </c>
      <c r="AG103" s="109">
        <f t="shared" si="63"/>
        <v>0</v>
      </c>
      <c r="AH103" s="109">
        <f t="shared" si="63"/>
        <v>0</v>
      </c>
      <c r="AI103" s="109">
        <f t="shared" si="63"/>
        <v>0</v>
      </c>
      <c r="AJ103" s="109">
        <f t="shared" si="63"/>
        <v>0</v>
      </c>
      <c r="AK103" s="109">
        <f t="shared" si="63"/>
        <v>0</v>
      </c>
      <c r="AL103" s="109">
        <f t="shared" si="63"/>
        <v>0</v>
      </c>
      <c r="AM103" s="109">
        <f t="shared" si="63"/>
        <v>0</v>
      </c>
      <c r="AN103" s="109">
        <f t="shared" si="63"/>
        <v>0</v>
      </c>
      <c r="AO103" s="109">
        <f t="shared" si="63"/>
        <v>0</v>
      </c>
      <c r="AP103" s="109">
        <f t="shared" si="63"/>
        <v>0</v>
      </c>
      <c r="AQ103" s="109">
        <f t="shared" si="63"/>
        <v>0</v>
      </c>
      <c r="AR103" s="109">
        <f t="shared" si="63"/>
        <v>0</v>
      </c>
      <c r="AS103" s="109">
        <f t="shared" si="63"/>
        <v>0</v>
      </c>
      <c r="AT103" s="109">
        <f t="shared" si="63"/>
        <v>0</v>
      </c>
      <c r="AU103" s="109">
        <f t="shared" si="63"/>
        <v>0</v>
      </c>
      <c r="AV103" s="109">
        <f t="shared" si="63"/>
        <v>0</v>
      </c>
      <c r="AW103" s="109">
        <f t="shared" si="63"/>
        <v>0</v>
      </c>
      <c r="AX103" s="109">
        <f t="shared" si="63"/>
        <v>0</v>
      </c>
      <c r="AY103" s="109">
        <f t="shared" si="63"/>
        <v>0</v>
      </c>
      <c r="AZ103" s="109">
        <f t="shared" si="63"/>
        <v>0</v>
      </c>
      <c r="BA103" s="109">
        <f t="shared" si="63"/>
        <v>0</v>
      </c>
      <c r="BB103" s="109">
        <f t="shared" si="63"/>
        <v>0</v>
      </c>
      <c r="BC103" s="109">
        <f t="shared" si="63"/>
        <v>0</v>
      </c>
      <c r="BD103" s="109">
        <f t="shared" si="63"/>
        <v>0</v>
      </c>
      <c r="BE103" s="109">
        <f t="shared" si="63"/>
        <v>0</v>
      </c>
      <c r="BF103" s="109">
        <f t="shared" si="63"/>
        <v>0</v>
      </c>
      <c r="BG103" s="109">
        <f t="shared" si="63"/>
        <v>0</v>
      </c>
      <c r="BH103" s="109">
        <f t="shared" si="63"/>
        <v>0</v>
      </c>
      <c r="BI103" s="109">
        <f t="shared" si="63"/>
        <v>0</v>
      </c>
      <c r="BJ103" s="109">
        <f t="shared" si="63"/>
        <v>0</v>
      </c>
      <c r="BK103" s="109">
        <f t="shared" si="63"/>
        <v>0</v>
      </c>
      <c r="BL103" s="109">
        <f t="shared" si="63"/>
        <v>0</v>
      </c>
      <c r="BM103" s="109">
        <f t="shared" si="63"/>
        <v>0</v>
      </c>
      <c r="BN103" s="109">
        <f t="shared" si="63"/>
        <v>0</v>
      </c>
      <c r="BO103" s="109">
        <f t="shared" ref="BO103:CX103" si="64">IF(AND(BO$84&gt;=$C$41,BO$84&lt;=$C$42),$C68,0)</f>
        <v>0</v>
      </c>
      <c r="BP103" s="109">
        <f t="shared" si="64"/>
        <v>0</v>
      </c>
      <c r="BQ103" s="109">
        <f t="shared" si="64"/>
        <v>0</v>
      </c>
      <c r="BR103" s="109">
        <f t="shared" si="64"/>
        <v>0</v>
      </c>
      <c r="BS103" s="109">
        <f t="shared" si="64"/>
        <v>0</v>
      </c>
      <c r="BT103" s="109">
        <f t="shared" si="64"/>
        <v>0</v>
      </c>
      <c r="BU103" s="109">
        <f t="shared" si="64"/>
        <v>0</v>
      </c>
      <c r="BV103" s="109">
        <f t="shared" si="64"/>
        <v>0</v>
      </c>
      <c r="BW103" s="109">
        <f t="shared" si="64"/>
        <v>0</v>
      </c>
      <c r="BX103" s="109">
        <f t="shared" si="64"/>
        <v>0</v>
      </c>
      <c r="BY103" s="109">
        <f t="shared" si="64"/>
        <v>0</v>
      </c>
      <c r="BZ103" s="109">
        <f t="shared" si="64"/>
        <v>0</v>
      </c>
      <c r="CA103" s="109">
        <f t="shared" si="64"/>
        <v>0</v>
      </c>
      <c r="CB103" s="109">
        <f t="shared" si="64"/>
        <v>0</v>
      </c>
      <c r="CC103" s="109">
        <f t="shared" si="64"/>
        <v>0</v>
      </c>
      <c r="CD103" s="109">
        <f t="shared" si="64"/>
        <v>0</v>
      </c>
      <c r="CE103" s="109">
        <f t="shared" si="64"/>
        <v>0</v>
      </c>
      <c r="CF103" s="109">
        <f t="shared" si="64"/>
        <v>0</v>
      </c>
      <c r="CG103" s="109">
        <f t="shared" si="64"/>
        <v>0</v>
      </c>
      <c r="CH103" s="109">
        <f t="shared" si="64"/>
        <v>0</v>
      </c>
      <c r="CI103" s="109">
        <f t="shared" si="64"/>
        <v>0</v>
      </c>
      <c r="CJ103" s="109">
        <f t="shared" si="64"/>
        <v>0</v>
      </c>
      <c r="CK103" s="109">
        <f t="shared" si="64"/>
        <v>0</v>
      </c>
      <c r="CL103" s="109">
        <f t="shared" si="64"/>
        <v>0</v>
      </c>
      <c r="CM103" s="109">
        <f t="shared" si="64"/>
        <v>0</v>
      </c>
      <c r="CN103" s="109">
        <f t="shared" si="64"/>
        <v>0</v>
      </c>
      <c r="CO103" s="109">
        <f t="shared" si="64"/>
        <v>0</v>
      </c>
      <c r="CP103" s="109">
        <f t="shared" si="64"/>
        <v>0</v>
      </c>
      <c r="CQ103" s="109">
        <f t="shared" si="64"/>
        <v>0</v>
      </c>
      <c r="CR103" s="109">
        <f t="shared" si="64"/>
        <v>0</v>
      </c>
      <c r="CS103" s="109">
        <f t="shared" si="64"/>
        <v>0</v>
      </c>
      <c r="CT103" s="109">
        <f t="shared" si="64"/>
        <v>0</v>
      </c>
      <c r="CU103" s="109">
        <f t="shared" si="64"/>
        <v>0</v>
      </c>
      <c r="CV103" s="109">
        <f t="shared" si="64"/>
        <v>0</v>
      </c>
      <c r="CW103" s="109">
        <f t="shared" si="64"/>
        <v>0</v>
      </c>
      <c r="CX103" s="172">
        <f t="shared" si="64"/>
        <v>0</v>
      </c>
    </row>
    <row r="104" spans="1:102" ht="20" customHeight="1">
      <c r="A104" s="170">
        <f t="shared" si="50"/>
        <v>54235008.955367357</v>
      </c>
      <c r="B104" s="178" t="str">
        <f>B69</f>
        <v>Maintenance</v>
      </c>
      <c r="C104" s="109">
        <f t="shared" ref="C104:AH104" si="65">IF(AND(C$84&gt;=$C$41,C$84&lt;=$C$42),$C69,0)</f>
        <v>0</v>
      </c>
      <c r="D104" s="109">
        <f t="shared" si="65"/>
        <v>0</v>
      </c>
      <c r="E104" s="109">
        <f t="shared" si="65"/>
        <v>1807833.6318455786</v>
      </c>
      <c r="F104" s="109">
        <f t="shared" si="65"/>
        <v>1807833.6318455786</v>
      </c>
      <c r="G104" s="109">
        <f t="shared" si="65"/>
        <v>1807833.6318455786</v>
      </c>
      <c r="H104" s="109">
        <f t="shared" si="65"/>
        <v>1807833.6318455786</v>
      </c>
      <c r="I104" s="109">
        <f t="shared" si="65"/>
        <v>1807833.6318455786</v>
      </c>
      <c r="J104" s="109">
        <f t="shared" si="65"/>
        <v>1807833.6318455786</v>
      </c>
      <c r="K104" s="109">
        <f t="shared" si="65"/>
        <v>1807833.6318455786</v>
      </c>
      <c r="L104" s="109">
        <f t="shared" si="65"/>
        <v>1807833.6318455786</v>
      </c>
      <c r="M104" s="109">
        <f t="shared" si="65"/>
        <v>1807833.6318455786</v>
      </c>
      <c r="N104" s="109">
        <f t="shared" si="65"/>
        <v>1807833.6318455786</v>
      </c>
      <c r="O104" s="109">
        <f t="shared" si="65"/>
        <v>1807833.6318455786</v>
      </c>
      <c r="P104" s="109">
        <f t="shared" si="65"/>
        <v>1807833.6318455786</v>
      </c>
      <c r="Q104" s="109">
        <f t="shared" si="65"/>
        <v>1807833.6318455786</v>
      </c>
      <c r="R104" s="109">
        <f t="shared" si="65"/>
        <v>1807833.6318455786</v>
      </c>
      <c r="S104" s="109">
        <f t="shared" si="65"/>
        <v>1807833.6318455786</v>
      </c>
      <c r="T104" s="109">
        <f t="shared" si="65"/>
        <v>1807833.6318455786</v>
      </c>
      <c r="U104" s="109">
        <f t="shared" si="65"/>
        <v>1807833.6318455786</v>
      </c>
      <c r="V104" s="109">
        <f t="shared" si="65"/>
        <v>1807833.6318455786</v>
      </c>
      <c r="W104" s="109">
        <f t="shared" si="65"/>
        <v>1807833.6318455786</v>
      </c>
      <c r="X104" s="109">
        <f t="shared" si="65"/>
        <v>1807833.6318455786</v>
      </c>
      <c r="Y104" s="109">
        <f t="shared" si="65"/>
        <v>1807833.6318455786</v>
      </c>
      <c r="Z104" s="109">
        <f t="shared" si="65"/>
        <v>1807833.6318455786</v>
      </c>
      <c r="AA104" s="109">
        <f t="shared" si="65"/>
        <v>1807833.6318455786</v>
      </c>
      <c r="AB104" s="109">
        <f t="shared" si="65"/>
        <v>1807833.6318455786</v>
      </c>
      <c r="AC104" s="109">
        <f t="shared" si="65"/>
        <v>1807833.6318455786</v>
      </c>
      <c r="AD104" s="109">
        <f t="shared" si="65"/>
        <v>1807833.6318455786</v>
      </c>
      <c r="AE104" s="109">
        <f t="shared" si="65"/>
        <v>1807833.6318455786</v>
      </c>
      <c r="AF104" s="109">
        <f t="shared" si="65"/>
        <v>1807833.6318455786</v>
      </c>
      <c r="AG104" s="109">
        <f t="shared" si="65"/>
        <v>1807833.6318455786</v>
      </c>
      <c r="AH104" s="109">
        <f t="shared" si="65"/>
        <v>1807833.6318455786</v>
      </c>
      <c r="AI104" s="109">
        <f t="shared" ref="AI104:BN104" si="66">IF(AND(AI$84&gt;=$C$41,AI$84&lt;=$C$42),$C69,0)</f>
        <v>0</v>
      </c>
      <c r="AJ104" s="109">
        <f t="shared" si="66"/>
        <v>0</v>
      </c>
      <c r="AK104" s="109">
        <f t="shared" si="66"/>
        <v>0</v>
      </c>
      <c r="AL104" s="109">
        <f t="shared" si="66"/>
        <v>0</v>
      </c>
      <c r="AM104" s="109">
        <f t="shared" si="66"/>
        <v>0</v>
      </c>
      <c r="AN104" s="109">
        <f t="shared" si="66"/>
        <v>0</v>
      </c>
      <c r="AO104" s="109">
        <f t="shared" si="66"/>
        <v>0</v>
      </c>
      <c r="AP104" s="109">
        <f t="shared" si="66"/>
        <v>0</v>
      </c>
      <c r="AQ104" s="109">
        <f t="shared" si="66"/>
        <v>0</v>
      </c>
      <c r="AR104" s="109">
        <f t="shared" si="66"/>
        <v>0</v>
      </c>
      <c r="AS104" s="109">
        <f t="shared" si="66"/>
        <v>0</v>
      </c>
      <c r="AT104" s="109">
        <f t="shared" si="66"/>
        <v>0</v>
      </c>
      <c r="AU104" s="109">
        <f t="shared" si="66"/>
        <v>0</v>
      </c>
      <c r="AV104" s="109">
        <f t="shared" si="66"/>
        <v>0</v>
      </c>
      <c r="AW104" s="109">
        <f t="shared" si="66"/>
        <v>0</v>
      </c>
      <c r="AX104" s="109">
        <f t="shared" si="66"/>
        <v>0</v>
      </c>
      <c r="AY104" s="109">
        <f t="shared" si="66"/>
        <v>0</v>
      </c>
      <c r="AZ104" s="109">
        <f t="shared" si="66"/>
        <v>0</v>
      </c>
      <c r="BA104" s="109">
        <f t="shared" si="66"/>
        <v>0</v>
      </c>
      <c r="BB104" s="109">
        <f t="shared" si="66"/>
        <v>0</v>
      </c>
      <c r="BC104" s="109">
        <f t="shared" si="66"/>
        <v>0</v>
      </c>
      <c r="BD104" s="109">
        <f t="shared" si="66"/>
        <v>0</v>
      </c>
      <c r="BE104" s="109">
        <f t="shared" si="66"/>
        <v>0</v>
      </c>
      <c r="BF104" s="109">
        <f t="shared" si="66"/>
        <v>0</v>
      </c>
      <c r="BG104" s="109">
        <f t="shared" si="66"/>
        <v>0</v>
      </c>
      <c r="BH104" s="109">
        <f t="shared" si="66"/>
        <v>0</v>
      </c>
      <c r="BI104" s="109">
        <f t="shared" si="66"/>
        <v>0</v>
      </c>
      <c r="BJ104" s="109">
        <f t="shared" si="66"/>
        <v>0</v>
      </c>
      <c r="BK104" s="109">
        <f t="shared" si="66"/>
        <v>0</v>
      </c>
      <c r="BL104" s="109">
        <f t="shared" si="66"/>
        <v>0</v>
      </c>
      <c r="BM104" s="109">
        <f t="shared" si="66"/>
        <v>0</v>
      </c>
      <c r="BN104" s="109">
        <f t="shared" si="66"/>
        <v>0</v>
      </c>
      <c r="BO104" s="109">
        <f t="shared" ref="BO104:CX104" si="67">IF(AND(BO$84&gt;=$C$41,BO$84&lt;=$C$42),$C69,0)</f>
        <v>0</v>
      </c>
      <c r="BP104" s="109">
        <f t="shared" si="67"/>
        <v>0</v>
      </c>
      <c r="BQ104" s="109">
        <f t="shared" si="67"/>
        <v>0</v>
      </c>
      <c r="BR104" s="109">
        <f t="shared" si="67"/>
        <v>0</v>
      </c>
      <c r="BS104" s="109">
        <f t="shared" si="67"/>
        <v>0</v>
      </c>
      <c r="BT104" s="109">
        <f t="shared" si="67"/>
        <v>0</v>
      </c>
      <c r="BU104" s="109">
        <f t="shared" si="67"/>
        <v>0</v>
      </c>
      <c r="BV104" s="109">
        <f t="shared" si="67"/>
        <v>0</v>
      </c>
      <c r="BW104" s="109">
        <f t="shared" si="67"/>
        <v>0</v>
      </c>
      <c r="BX104" s="109">
        <f t="shared" si="67"/>
        <v>0</v>
      </c>
      <c r="BY104" s="109">
        <f t="shared" si="67"/>
        <v>0</v>
      </c>
      <c r="BZ104" s="109">
        <f t="shared" si="67"/>
        <v>0</v>
      </c>
      <c r="CA104" s="109">
        <f t="shared" si="67"/>
        <v>0</v>
      </c>
      <c r="CB104" s="109">
        <f t="shared" si="67"/>
        <v>0</v>
      </c>
      <c r="CC104" s="109">
        <f t="shared" si="67"/>
        <v>0</v>
      </c>
      <c r="CD104" s="109">
        <f t="shared" si="67"/>
        <v>0</v>
      </c>
      <c r="CE104" s="109">
        <f t="shared" si="67"/>
        <v>0</v>
      </c>
      <c r="CF104" s="109">
        <f t="shared" si="67"/>
        <v>0</v>
      </c>
      <c r="CG104" s="109">
        <f t="shared" si="67"/>
        <v>0</v>
      </c>
      <c r="CH104" s="109">
        <f t="shared" si="67"/>
        <v>0</v>
      </c>
      <c r="CI104" s="109">
        <f t="shared" si="67"/>
        <v>0</v>
      </c>
      <c r="CJ104" s="109">
        <f t="shared" si="67"/>
        <v>0</v>
      </c>
      <c r="CK104" s="109">
        <f t="shared" si="67"/>
        <v>0</v>
      </c>
      <c r="CL104" s="109">
        <f t="shared" si="67"/>
        <v>0</v>
      </c>
      <c r="CM104" s="109">
        <f t="shared" si="67"/>
        <v>0</v>
      </c>
      <c r="CN104" s="109">
        <f t="shared" si="67"/>
        <v>0</v>
      </c>
      <c r="CO104" s="109">
        <f t="shared" si="67"/>
        <v>0</v>
      </c>
      <c r="CP104" s="109">
        <f t="shared" si="67"/>
        <v>0</v>
      </c>
      <c r="CQ104" s="109">
        <f t="shared" si="67"/>
        <v>0</v>
      </c>
      <c r="CR104" s="109">
        <f t="shared" si="67"/>
        <v>0</v>
      </c>
      <c r="CS104" s="109">
        <f t="shared" si="67"/>
        <v>0</v>
      </c>
      <c r="CT104" s="109">
        <f t="shared" si="67"/>
        <v>0</v>
      </c>
      <c r="CU104" s="109">
        <f t="shared" si="67"/>
        <v>0</v>
      </c>
      <c r="CV104" s="109">
        <f t="shared" si="67"/>
        <v>0</v>
      </c>
      <c r="CW104" s="109">
        <f t="shared" si="67"/>
        <v>0</v>
      </c>
      <c r="CX104" s="172">
        <f t="shared" si="67"/>
        <v>0</v>
      </c>
    </row>
    <row r="105" spans="1:102" ht="20" customHeight="1">
      <c r="A105" s="170">
        <f t="shared" si="50"/>
        <v>20342480.549320925</v>
      </c>
      <c r="B105" s="178" t="str">
        <f>B70</f>
        <v>Insurance, Permits, Fees</v>
      </c>
      <c r="C105" s="109">
        <f t="shared" ref="C105:AH105" si="68">IF(AND(C$84&gt;=$C$41,C$84&lt;=$C$42),$C70,0)</f>
        <v>0</v>
      </c>
      <c r="D105" s="109">
        <f t="shared" si="68"/>
        <v>0</v>
      </c>
      <c r="E105" s="109">
        <f t="shared" si="68"/>
        <v>678082.68497736449</v>
      </c>
      <c r="F105" s="109">
        <f t="shared" si="68"/>
        <v>678082.68497736449</v>
      </c>
      <c r="G105" s="109">
        <f t="shared" si="68"/>
        <v>678082.68497736449</v>
      </c>
      <c r="H105" s="109">
        <f t="shared" si="68"/>
        <v>678082.68497736449</v>
      </c>
      <c r="I105" s="109">
        <f t="shared" si="68"/>
        <v>678082.68497736449</v>
      </c>
      <c r="J105" s="109">
        <f t="shared" si="68"/>
        <v>678082.68497736449</v>
      </c>
      <c r="K105" s="109">
        <f t="shared" si="68"/>
        <v>678082.68497736449</v>
      </c>
      <c r="L105" s="109">
        <f t="shared" si="68"/>
        <v>678082.68497736449</v>
      </c>
      <c r="M105" s="109">
        <f t="shared" si="68"/>
        <v>678082.68497736449</v>
      </c>
      <c r="N105" s="109">
        <f t="shared" si="68"/>
        <v>678082.68497736449</v>
      </c>
      <c r="O105" s="109">
        <f t="shared" si="68"/>
        <v>678082.68497736449</v>
      </c>
      <c r="P105" s="109">
        <f t="shared" si="68"/>
        <v>678082.68497736449</v>
      </c>
      <c r="Q105" s="109">
        <f t="shared" si="68"/>
        <v>678082.68497736449</v>
      </c>
      <c r="R105" s="109">
        <f t="shared" si="68"/>
        <v>678082.68497736449</v>
      </c>
      <c r="S105" s="109">
        <f t="shared" si="68"/>
        <v>678082.68497736449</v>
      </c>
      <c r="T105" s="109">
        <f t="shared" si="68"/>
        <v>678082.68497736449</v>
      </c>
      <c r="U105" s="109">
        <f t="shared" si="68"/>
        <v>678082.68497736449</v>
      </c>
      <c r="V105" s="109">
        <f t="shared" si="68"/>
        <v>678082.68497736449</v>
      </c>
      <c r="W105" s="109">
        <f t="shared" si="68"/>
        <v>678082.68497736449</v>
      </c>
      <c r="X105" s="109">
        <f t="shared" si="68"/>
        <v>678082.68497736449</v>
      </c>
      <c r="Y105" s="109">
        <f t="shared" si="68"/>
        <v>678082.68497736449</v>
      </c>
      <c r="Z105" s="109">
        <f t="shared" si="68"/>
        <v>678082.68497736449</v>
      </c>
      <c r="AA105" s="109">
        <f t="shared" si="68"/>
        <v>678082.68497736449</v>
      </c>
      <c r="AB105" s="109">
        <f t="shared" si="68"/>
        <v>678082.68497736449</v>
      </c>
      <c r="AC105" s="109">
        <f t="shared" si="68"/>
        <v>678082.68497736449</v>
      </c>
      <c r="AD105" s="109">
        <f t="shared" si="68"/>
        <v>678082.68497736449</v>
      </c>
      <c r="AE105" s="109">
        <f t="shared" si="68"/>
        <v>678082.68497736449</v>
      </c>
      <c r="AF105" s="109">
        <f t="shared" si="68"/>
        <v>678082.68497736449</v>
      </c>
      <c r="AG105" s="109">
        <f t="shared" si="68"/>
        <v>678082.68497736449</v>
      </c>
      <c r="AH105" s="109">
        <f t="shared" si="68"/>
        <v>678082.68497736449</v>
      </c>
      <c r="AI105" s="109">
        <f t="shared" ref="AI105:BN105" si="69">IF(AND(AI$84&gt;=$C$41,AI$84&lt;=$C$42),$C70,0)</f>
        <v>0</v>
      </c>
      <c r="AJ105" s="109">
        <f t="shared" si="69"/>
        <v>0</v>
      </c>
      <c r="AK105" s="109">
        <f t="shared" si="69"/>
        <v>0</v>
      </c>
      <c r="AL105" s="109">
        <f t="shared" si="69"/>
        <v>0</v>
      </c>
      <c r="AM105" s="109">
        <f t="shared" si="69"/>
        <v>0</v>
      </c>
      <c r="AN105" s="109">
        <f t="shared" si="69"/>
        <v>0</v>
      </c>
      <c r="AO105" s="109">
        <f t="shared" si="69"/>
        <v>0</v>
      </c>
      <c r="AP105" s="109">
        <f t="shared" si="69"/>
        <v>0</v>
      </c>
      <c r="AQ105" s="109">
        <f t="shared" si="69"/>
        <v>0</v>
      </c>
      <c r="AR105" s="109">
        <f t="shared" si="69"/>
        <v>0</v>
      </c>
      <c r="AS105" s="109">
        <f t="shared" si="69"/>
        <v>0</v>
      </c>
      <c r="AT105" s="109">
        <f t="shared" si="69"/>
        <v>0</v>
      </c>
      <c r="AU105" s="109">
        <f t="shared" si="69"/>
        <v>0</v>
      </c>
      <c r="AV105" s="109">
        <f t="shared" si="69"/>
        <v>0</v>
      </c>
      <c r="AW105" s="109">
        <f t="shared" si="69"/>
        <v>0</v>
      </c>
      <c r="AX105" s="109">
        <f t="shared" si="69"/>
        <v>0</v>
      </c>
      <c r="AY105" s="109">
        <f t="shared" si="69"/>
        <v>0</v>
      </c>
      <c r="AZ105" s="109">
        <f t="shared" si="69"/>
        <v>0</v>
      </c>
      <c r="BA105" s="109">
        <f t="shared" si="69"/>
        <v>0</v>
      </c>
      <c r="BB105" s="109">
        <f t="shared" si="69"/>
        <v>0</v>
      </c>
      <c r="BC105" s="109">
        <f t="shared" si="69"/>
        <v>0</v>
      </c>
      <c r="BD105" s="109">
        <f t="shared" si="69"/>
        <v>0</v>
      </c>
      <c r="BE105" s="109">
        <f t="shared" si="69"/>
        <v>0</v>
      </c>
      <c r="BF105" s="109">
        <f t="shared" si="69"/>
        <v>0</v>
      </c>
      <c r="BG105" s="109">
        <f t="shared" si="69"/>
        <v>0</v>
      </c>
      <c r="BH105" s="109">
        <f t="shared" si="69"/>
        <v>0</v>
      </c>
      <c r="BI105" s="109">
        <f t="shared" si="69"/>
        <v>0</v>
      </c>
      <c r="BJ105" s="109">
        <f t="shared" si="69"/>
        <v>0</v>
      </c>
      <c r="BK105" s="109">
        <f t="shared" si="69"/>
        <v>0</v>
      </c>
      <c r="BL105" s="109">
        <f t="shared" si="69"/>
        <v>0</v>
      </c>
      <c r="BM105" s="109">
        <f t="shared" si="69"/>
        <v>0</v>
      </c>
      <c r="BN105" s="109">
        <f t="shared" si="69"/>
        <v>0</v>
      </c>
      <c r="BO105" s="109">
        <f t="shared" ref="BO105:CX105" si="70">IF(AND(BO$84&gt;=$C$41,BO$84&lt;=$C$42),$C70,0)</f>
        <v>0</v>
      </c>
      <c r="BP105" s="109">
        <f t="shared" si="70"/>
        <v>0</v>
      </c>
      <c r="BQ105" s="109">
        <f t="shared" si="70"/>
        <v>0</v>
      </c>
      <c r="BR105" s="109">
        <f t="shared" si="70"/>
        <v>0</v>
      </c>
      <c r="BS105" s="109">
        <f t="shared" si="70"/>
        <v>0</v>
      </c>
      <c r="BT105" s="109">
        <f t="shared" si="70"/>
        <v>0</v>
      </c>
      <c r="BU105" s="109">
        <f t="shared" si="70"/>
        <v>0</v>
      </c>
      <c r="BV105" s="109">
        <f t="shared" si="70"/>
        <v>0</v>
      </c>
      <c r="BW105" s="109">
        <f t="shared" si="70"/>
        <v>0</v>
      </c>
      <c r="BX105" s="109">
        <f t="shared" si="70"/>
        <v>0</v>
      </c>
      <c r="BY105" s="109">
        <f t="shared" si="70"/>
        <v>0</v>
      </c>
      <c r="BZ105" s="109">
        <f t="shared" si="70"/>
        <v>0</v>
      </c>
      <c r="CA105" s="109">
        <f t="shared" si="70"/>
        <v>0</v>
      </c>
      <c r="CB105" s="109">
        <f t="shared" si="70"/>
        <v>0</v>
      </c>
      <c r="CC105" s="109">
        <f t="shared" si="70"/>
        <v>0</v>
      </c>
      <c r="CD105" s="109">
        <f t="shared" si="70"/>
        <v>0</v>
      </c>
      <c r="CE105" s="109">
        <f t="shared" si="70"/>
        <v>0</v>
      </c>
      <c r="CF105" s="109">
        <f t="shared" si="70"/>
        <v>0</v>
      </c>
      <c r="CG105" s="109">
        <f t="shared" si="70"/>
        <v>0</v>
      </c>
      <c r="CH105" s="109">
        <f t="shared" si="70"/>
        <v>0</v>
      </c>
      <c r="CI105" s="109">
        <f t="shared" si="70"/>
        <v>0</v>
      </c>
      <c r="CJ105" s="109">
        <f t="shared" si="70"/>
        <v>0</v>
      </c>
      <c r="CK105" s="109">
        <f t="shared" si="70"/>
        <v>0</v>
      </c>
      <c r="CL105" s="109">
        <f t="shared" si="70"/>
        <v>0</v>
      </c>
      <c r="CM105" s="109">
        <f t="shared" si="70"/>
        <v>0</v>
      </c>
      <c r="CN105" s="109">
        <f t="shared" si="70"/>
        <v>0</v>
      </c>
      <c r="CO105" s="109">
        <f t="shared" si="70"/>
        <v>0</v>
      </c>
      <c r="CP105" s="109">
        <f t="shared" si="70"/>
        <v>0</v>
      </c>
      <c r="CQ105" s="109">
        <f t="shared" si="70"/>
        <v>0</v>
      </c>
      <c r="CR105" s="109">
        <f t="shared" si="70"/>
        <v>0</v>
      </c>
      <c r="CS105" s="109">
        <f t="shared" si="70"/>
        <v>0</v>
      </c>
      <c r="CT105" s="109">
        <f t="shared" si="70"/>
        <v>0</v>
      </c>
      <c r="CU105" s="109">
        <f t="shared" si="70"/>
        <v>0</v>
      </c>
      <c r="CV105" s="109">
        <f t="shared" si="70"/>
        <v>0</v>
      </c>
      <c r="CW105" s="109">
        <f t="shared" si="70"/>
        <v>0</v>
      </c>
      <c r="CX105" s="172">
        <f t="shared" si="70"/>
        <v>0</v>
      </c>
    </row>
    <row r="106" spans="1:102" ht="20" customHeight="1">
      <c r="A106" s="170">
        <f t="shared" si="50"/>
        <v>105349143.91436088</v>
      </c>
      <c r="B106" s="178" t="str">
        <f>B71</f>
        <v>Labor</v>
      </c>
      <c r="C106" s="109">
        <f t="shared" ref="C106:BN106" si="71">IF(AND(C$84&gt;=$C$41,C$84&lt;=$C$42),$C71,0)</f>
        <v>0</v>
      </c>
      <c r="D106" s="109">
        <f t="shared" si="71"/>
        <v>0</v>
      </c>
      <c r="E106" s="109">
        <f t="shared" si="71"/>
        <v>3511638.1304786974</v>
      </c>
      <c r="F106" s="109">
        <f t="shared" si="71"/>
        <v>3511638.1304786974</v>
      </c>
      <c r="G106" s="109">
        <f t="shared" si="71"/>
        <v>3511638.1304786974</v>
      </c>
      <c r="H106" s="109">
        <f t="shared" si="71"/>
        <v>3511638.1304786974</v>
      </c>
      <c r="I106" s="109">
        <f t="shared" si="71"/>
        <v>3511638.1304786974</v>
      </c>
      <c r="J106" s="109">
        <f t="shared" si="71"/>
        <v>3511638.1304786974</v>
      </c>
      <c r="K106" s="109">
        <f t="shared" si="71"/>
        <v>3511638.1304786974</v>
      </c>
      <c r="L106" s="109">
        <f t="shared" si="71"/>
        <v>3511638.1304786974</v>
      </c>
      <c r="M106" s="109">
        <f t="shared" si="71"/>
        <v>3511638.1304786974</v>
      </c>
      <c r="N106" s="109">
        <f t="shared" si="71"/>
        <v>3511638.1304786974</v>
      </c>
      <c r="O106" s="109">
        <f t="shared" si="71"/>
        <v>3511638.1304786974</v>
      </c>
      <c r="P106" s="109">
        <f t="shared" si="71"/>
        <v>3511638.1304786974</v>
      </c>
      <c r="Q106" s="109">
        <f t="shared" si="71"/>
        <v>3511638.1304786974</v>
      </c>
      <c r="R106" s="109">
        <f t="shared" si="71"/>
        <v>3511638.1304786974</v>
      </c>
      <c r="S106" s="109">
        <f t="shared" si="71"/>
        <v>3511638.1304786974</v>
      </c>
      <c r="T106" s="109">
        <f t="shared" si="71"/>
        <v>3511638.1304786974</v>
      </c>
      <c r="U106" s="109">
        <f t="shared" si="71"/>
        <v>3511638.1304786974</v>
      </c>
      <c r="V106" s="109">
        <f t="shared" si="71"/>
        <v>3511638.1304786974</v>
      </c>
      <c r="W106" s="109">
        <f t="shared" si="71"/>
        <v>3511638.1304786974</v>
      </c>
      <c r="X106" s="109">
        <f t="shared" si="71"/>
        <v>3511638.1304786974</v>
      </c>
      <c r="Y106" s="109">
        <f t="shared" si="71"/>
        <v>3511638.1304786974</v>
      </c>
      <c r="Z106" s="109">
        <f t="shared" si="71"/>
        <v>3511638.1304786974</v>
      </c>
      <c r="AA106" s="109">
        <f t="shared" si="71"/>
        <v>3511638.1304786974</v>
      </c>
      <c r="AB106" s="109">
        <f t="shared" si="71"/>
        <v>3511638.1304786974</v>
      </c>
      <c r="AC106" s="109">
        <f t="shared" si="71"/>
        <v>3511638.1304786974</v>
      </c>
      <c r="AD106" s="109">
        <f t="shared" si="71"/>
        <v>3511638.1304786974</v>
      </c>
      <c r="AE106" s="109">
        <f t="shared" si="71"/>
        <v>3511638.1304786974</v>
      </c>
      <c r="AF106" s="109">
        <f t="shared" si="71"/>
        <v>3511638.1304786974</v>
      </c>
      <c r="AG106" s="109">
        <f t="shared" si="71"/>
        <v>3511638.1304786974</v>
      </c>
      <c r="AH106" s="109">
        <f t="shared" si="71"/>
        <v>3511638.1304786974</v>
      </c>
      <c r="AI106" s="109">
        <f t="shared" si="71"/>
        <v>0</v>
      </c>
      <c r="AJ106" s="109">
        <f t="shared" si="71"/>
        <v>0</v>
      </c>
      <c r="AK106" s="109">
        <f t="shared" si="71"/>
        <v>0</v>
      </c>
      <c r="AL106" s="109">
        <f t="shared" si="71"/>
        <v>0</v>
      </c>
      <c r="AM106" s="109">
        <f t="shared" si="71"/>
        <v>0</v>
      </c>
      <c r="AN106" s="109">
        <f t="shared" si="71"/>
        <v>0</v>
      </c>
      <c r="AO106" s="109">
        <f t="shared" si="71"/>
        <v>0</v>
      </c>
      <c r="AP106" s="109">
        <f t="shared" si="71"/>
        <v>0</v>
      </c>
      <c r="AQ106" s="109">
        <f t="shared" si="71"/>
        <v>0</v>
      </c>
      <c r="AR106" s="109">
        <f t="shared" si="71"/>
        <v>0</v>
      </c>
      <c r="AS106" s="109">
        <f t="shared" si="71"/>
        <v>0</v>
      </c>
      <c r="AT106" s="109">
        <f t="shared" si="71"/>
        <v>0</v>
      </c>
      <c r="AU106" s="109">
        <f t="shared" si="71"/>
        <v>0</v>
      </c>
      <c r="AV106" s="109">
        <f t="shared" si="71"/>
        <v>0</v>
      </c>
      <c r="AW106" s="109">
        <f t="shared" si="71"/>
        <v>0</v>
      </c>
      <c r="AX106" s="109">
        <f t="shared" si="71"/>
        <v>0</v>
      </c>
      <c r="AY106" s="109">
        <f t="shared" si="71"/>
        <v>0</v>
      </c>
      <c r="AZ106" s="109">
        <f t="shared" si="71"/>
        <v>0</v>
      </c>
      <c r="BA106" s="109">
        <f t="shared" si="71"/>
        <v>0</v>
      </c>
      <c r="BB106" s="109">
        <f t="shared" si="71"/>
        <v>0</v>
      </c>
      <c r="BC106" s="109">
        <f t="shared" si="71"/>
        <v>0</v>
      </c>
      <c r="BD106" s="109">
        <f t="shared" si="71"/>
        <v>0</v>
      </c>
      <c r="BE106" s="109">
        <f t="shared" si="71"/>
        <v>0</v>
      </c>
      <c r="BF106" s="109">
        <f t="shared" si="71"/>
        <v>0</v>
      </c>
      <c r="BG106" s="109">
        <f t="shared" si="71"/>
        <v>0</v>
      </c>
      <c r="BH106" s="109">
        <f t="shared" si="71"/>
        <v>0</v>
      </c>
      <c r="BI106" s="109">
        <f t="shared" si="71"/>
        <v>0</v>
      </c>
      <c r="BJ106" s="109">
        <f t="shared" si="71"/>
        <v>0</v>
      </c>
      <c r="BK106" s="109">
        <f t="shared" si="71"/>
        <v>0</v>
      </c>
      <c r="BL106" s="109">
        <f t="shared" si="71"/>
        <v>0</v>
      </c>
      <c r="BM106" s="109">
        <f t="shared" si="71"/>
        <v>0</v>
      </c>
      <c r="BN106" s="109">
        <f t="shared" si="71"/>
        <v>0</v>
      </c>
      <c r="BO106" s="109">
        <f t="shared" ref="BO106:CX106" si="72">IF(AND(BO$84&gt;=$C$41,BO$84&lt;=$C$42),$C71,0)</f>
        <v>0</v>
      </c>
      <c r="BP106" s="109">
        <f t="shared" si="72"/>
        <v>0</v>
      </c>
      <c r="BQ106" s="109">
        <f t="shared" si="72"/>
        <v>0</v>
      </c>
      <c r="BR106" s="109">
        <f t="shared" si="72"/>
        <v>0</v>
      </c>
      <c r="BS106" s="109">
        <f t="shared" si="72"/>
        <v>0</v>
      </c>
      <c r="BT106" s="109">
        <f t="shared" si="72"/>
        <v>0</v>
      </c>
      <c r="BU106" s="109">
        <f t="shared" si="72"/>
        <v>0</v>
      </c>
      <c r="BV106" s="109">
        <f t="shared" si="72"/>
        <v>0</v>
      </c>
      <c r="BW106" s="109">
        <f t="shared" si="72"/>
        <v>0</v>
      </c>
      <c r="BX106" s="109">
        <f t="shared" si="72"/>
        <v>0</v>
      </c>
      <c r="BY106" s="109">
        <f t="shared" si="72"/>
        <v>0</v>
      </c>
      <c r="BZ106" s="109">
        <f t="shared" si="72"/>
        <v>0</v>
      </c>
      <c r="CA106" s="109">
        <f t="shared" si="72"/>
        <v>0</v>
      </c>
      <c r="CB106" s="109">
        <f t="shared" si="72"/>
        <v>0</v>
      </c>
      <c r="CC106" s="109">
        <f t="shared" si="72"/>
        <v>0</v>
      </c>
      <c r="CD106" s="109">
        <f t="shared" si="72"/>
        <v>0</v>
      </c>
      <c r="CE106" s="109">
        <f t="shared" si="72"/>
        <v>0</v>
      </c>
      <c r="CF106" s="109">
        <f t="shared" si="72"/>
        <v>0</v>
      </c>
      <c r="CG106" s="109">
        <f t="shared" si="72"/>
        <v>0</v>
      </c>
      <c r="CH106" s="109">
        <f t="shared" si="72"/>
        <v>0</v>
      </c>
      <c r="CI106" s="109">
        <f t="shared" si="72"/>
        <v>0</v>
      </c>
      <c r="CJ106" s="109">
        <f t="shared" si="72"/>
        <v>0</v>
      </c>
      <c r="CK106" s="109">
        <f t="shared" si="72"/>
        <v>0</v>
      </c>
      <c r="CL106" s="109">
        <f t="shared" si="72"/>
        <v>0</v>
      </c>
      <c r="CM106" s="109">
        <f t="shared" si="72"/>
        <v>0</v>
      </c>
      <c r="CN106" s="109">
        <f t="shared" si="72"/>
        <v>0</v>
      </c>
      <c r="CO106" s="109">
        <f t="shared" si="72"/>
        <v>0</v>
      </c>
      <c r="CP106" s="109">
        <f t="shared" si="72"/>
        <v>0</v>
      </c>
      <c r="CQ106" s="109">
        <f t="shared" si="72"/>
        <v>0</v>
      </c>
      <c r="CR106" s="109">
        <f t="shared" si="72"/>
        <v>0</v>
      </c>
      <c r="CS106" s="109">
        <f t="shared" si="72"/>
        <v>0</v>
      </c>
      <c r="CT106" s="109">
        <f t="shared" si="72"/>
        <v>0</v>
      </c>
      <c r="CU106" s="109">
        <f t="shared" si="72"/>
        <v>0</v>
      </c>
      <c r="CV106" s="109">
        <f t="shared" si="72"/>
        <v>0</v>
      </c>
      <c r="CW106" s="109">
        <f t="shared" si="72"/>
        <v>0</v>
      </c>
      <c r="CX106" s="172">
        <f t="shared" si="72"/>
        <v>0</v>
      </c>
    </row>
    <row r="107" spans="1:102" ht="20" customHeight="1">
      <c r="A107" s="170">
        <f t="shared" si="50"/>
        <v>-3395364.1835168917</v>
      </c>
      <c r="B107" s="173" t="str">
        <f>B72</f>
        <v>End of life</v>
      </c>
      <c r="C107" s="174">
        <f>IF(AND(C$84=$C$42),$C72,0)</f>
        <v>0</v>
      </c>
      <c r="D107" s="174">
        <f t="shared" ref="D107:BO107" si="73">IF(AND(D$84=$C$42),$C72,0)</f>
        <v>0</v>
      </c>
      <c r="E107" s="174">
        <f t="shared" si="73"/>
        <v>0</v>
      </c>
      <c r="F107" s="174">
        <f t="shared" si="73"/>
        <v>0</v>
      </c>
      <c r="G107" s="174">
        <f t="shared" si="73"/>
        <v>0</v>
      </c>
      <c r="H107" s="174">
        <f t="shared" si="73"/>
        <v>0</v>
      </c>
      <c r="I107" s="174">
        <f t="shared" si="73"/>
        <v>0</v>
      </c>
      <c r="J107" s="174">
        <f t="shared" si="73"/>
        <v>0</v>
      </c>
      <c r="K107" s="174">
        <f t="shared" si="73"/>
        <v>0</v>
      </c>
      <c r="L107" s="174">
        <f t="shared" si="73"/>
        <v>0</v>
      </c>
      <c r="M107" s="174">
        <f t="shared" si="73"/>
        <v>0</v>
      </c>
      <c r="N107" s="174">
        <f t="shared" si="73"/>
        <v>0</v>
      </c>
      <c r="O107" s="174">
        <f t="shared" si="73"/>
        <v>0</v>
      </c>
      <c r="P107" s="174">
        <f t="shared" si="73"/>
        <v>0</v>
      </c>
      <c r="Q107" s="174">
        <f t="shared" si="73"/>
        <v>0</v>
      </c>
      <c r="R107" s="174">
        <f t="shared" si="73"/>
        <v>0</v>
      </c>
      <c r="S107" s="174">
        <f t="shared" si="73"/>
        <v>0</v>
      </c>
      <c r="T107" s="174">
        <f t="shared" si="73"/>
        <v>0</v>
      </c>
      <c r="U107" s="174">
        <f t="shared" si="73"/>
        <v>0</v>
      </c>
      <c r="V107" s="174">
        <f t="shared" si="73"/>
        <v>0</v>
      </c>
      <c r="W107" s="174">
        <f t="shared" si="73"/>
        <v>0</v>
      </c>
      <c r="X107" s="174">
        <f t="shared" si="73"/>
        <v>0</v>
      </c>
      <c r="Y107" s="174">
        <f t="shared" si="73"/>
        <v>0</v>
      </c>
      <c r="Z107" s="174">
        <f t="shared" si="73"/>
        <v>0</v>
      </c>
      <c r="AA107" s="174">
        <f t="shared" si="73"/>
        <v>0</v>
      </c>
      <c r="AB107" s="174">
        <f t="shared" si="73"/>
        <v>0</v>
      </c>
      <c r="AC107" s="174">
        <f t="shared" si="73"/>
        <v>0</v>
      </c>
      <c r="AD107" s="174">
        <f t="shared" si="73"/>
        <v>0</v>
      </c>
      <c r="AE107" s="174">
        <f t="shared" si="73"/>
        <v>0</v>
      </c>
      <c r="AF107" s="174">
        <f t="shared" si="73"/>
        <v>0</v>
      </c>
      <c r="AG107" s="174">
        <f t="shared" si="73"/>
        <v>0</v>
      </c>
      <c r="AH107" s="174">
        <f t="shared" si="73"/>
        <v>-3395364.1835168917</v>
      </c>
      <c r="AI107" s="174">
        <f t="shared" si="73"/>
        <v>0</v>
      </c>
      <c r="AJ107" s="174">
        <f t="shared" si="73"/>
        <v>0</v>
      </c>
      <c r="AK107" s="174">
        <f t="shared" si="73"/>
        <v>0</v>
      </c>
      <c r="AL107" s="174">
        <f t="shared" si="73"/>
        <v>0</v>
      </c>
      <c r="AM107" s="174">
        <f t="shared" si="73"/>
        <v>0</v>
      </c>
      <c r="AN107" s="174">
        <f t="shared" si="73"/>
        <v>0</v>
      </c>
      <c r="AO107" s="174">
        <f t="shared" si="73"/>
        <v>0</v>
      </c>
      <c r="AP107" s="174">
        <f t="shared" si="73"/>
        <v>0</v>
      </c>
      <c r="AQ107" s="174">
        <f t="shared" si="73"/>
        <v>0</v>
      </c>
      <c r="AR107" s="174">
        <f t="shared" si="73"/>
        <v>0</v>
      </c>
      <c r="AS107" s="174">
        <f t="shared" si="73"/>
        <v>0</v>
      </c>
      <c r="AT107" s="174">
        <f t="shared" si="73"/>
        <v>0</v>
      </c>
      <c r="AU107" s="174">
        <f t="shared" si="73"/>
        <v>0</v>
      </c>
      <c r="AV107" s="174">
        <f t="shared" si="73"/>
        <v>0</v>
      </c>
      <c r="AW107" s="174">
        <f t="shared" si="73"/>
        <v>0</v>
      </c>
      <c r="AX107" s="174">
        <f t="shared" si="73"/>
        <v>0</v>
      </c>
      <c r="AY107" s="174">
        <f t="shared" si="73"/>
        <v>0</v>
      </c>
      <c r="AZ107" s="174">
        <f t="shared" si="73"/>
        <v>0</v>
      </c>
      <c r="BA107" s="174">
        <f t="shared" si="73"/>
        <v>0</v>
      </c>
      <c r="BB107" s="174">
        <f t="shared" si="73"/>
        <v>0</v>
      </c>
      <c r="BC107" s="174">
        <f t="shared" si="73"/>
        <v>0</v>
      </c>
      <c r="BD107" s="174">
        <f t="shared" si="73"/>
        <v>0</v>
      </c>
      <c r="BE107" s="174">
        <f t="shared" si="73"/>
        <v>0</v>
      </c>
      <c r="BF107" s="174">
        <f t="shared" si="73"/>
        <v>0</v>
      </c>
      <c r="BG107" s="174">
        <f t="shared" si="73"/>
        <v>0</v>
      </c>
      <c r="BH107" s="174">
        <f t="shared" si="73"/>
        <v>0</v>
      </c>
      <c r="BI107" s="174">
        <f t="shared" si="73"/>
        <v>0</v>
      </c>
      <c r="BJ107" s="174">
        <f t="shared" si="73"/>
        <v>0</v>
      </c>
      <c r="BK107" s="174">
        <f t="shared" si="73"/>
        <v>0</v>
      </c>
      <c r="BL107" s="174">
        <f t="shared" si="73"/>
        <v>0</v>
      </c>
      <c r="BM107" s="174">
        <f t="shared" si="73"/>
        <v>0</v>
      </c>
      <c r="BN107" s="174">
        <f t="shared" si="73"/>
        <v>0</v>
      </c>
      <c r="BO107" s="174">
        <f t="shared" si="73"/>
        <v>0</v>
      </c>
      <c r="BP107" s="174">
        <f t="shared" ref="BP107:CX107" si="74">IF(AND(BP$84=$C$42),$C72,0)</f>
        <v>0</v>
      </c>
      <c r="BQ107" s="174">
        <f t="shared" si="74"/>
        <v>0</v>
      </c>
      <c r="BR107" s="174">
        <f t="shared" si="74"/>
        <v>0</v>
      </c>
      <c r="BS107" s="174">
        <f t="shared" si="74"/>
        <v>0</v>
      </c>
      <c r="BT107" s="174">
        <f t="shared" si="74"/>
        <v>0</v>
      </c>
      <c r="BU107" s="174">
        <f t="shared" si="74"/>
        <v>0</v>
      </c>
      <c r="BV107" s="174">
        <f t="shared" si="74"/>
        <v>0</v>
      </c>
      <c r="BW107" s="174">
        <f t="shared" si="74"/>
        <v>0</v>
      </c>
      <c r="BX107" s="174">
        <f t="shared" si="74"/>
        <v>0</v>
      </c>
      <c r="BY107" s="174">
        <f t="shared" si="74"/>
        <v>0</v>
      </c>
      <c r="BZ107" s="174">
        <f t="shared" si="74"/>
        <v>0</v>
      </c>
      <c r="CA107" s="174">
        <f t="shared" si="74"/>
        <v>0</v>
      </c>
      <c r="CB107" s="174">
        <f t="shared" si="74"/>
        <v>0</v>
      </c>
      <c r="CC107" s="174">
        <f t="shared" si="74"/>
        <v>0</v>
      </c>
      <c r="CD107" s="174">
        <f t="shared" si="74"/>
        <v>0</v>
      </c>
      <c r="CE107" s="174">
        <f t="shared" si="74"/>
        <v>0</v>
      </c>
      <c r="CF107" s="174">
        <f t="shared" si="74"/>
        <v>0</v>
      </c>
      <c r="CG107" s="174">
        <f t="shared" si="74"/>
        <v>0</v>
      </c>
      <c r="CH107" s="174">
        <f t="shared" si="74"/>
        <v>0</v>
      </c>
      <c r="CI107" s="174">
        <f t="shared" si="74"/>
        <v>0</v>
      </c>
      <c r="CJ107" s="174">
        <f t="shared" si="74"/>
        <v>0</v>
      </c>
      <c r="CK107" s="174">
        <f t="shared" si="74"/>
        <v>0</v>
      </c>
      <c r="CL107" s="174">
        <f t="shared" si="74"/>
        <v>0</v>
      </c>
      <c r="CM107" s="174">
        <f t="shared" si="74"/>
        <v>0</v>
      </c>
      <c r="CN107" s="174">
        <f t="shared" si="74"/>
        <v>0</v>
      </c>
      <c r="CO107" s="174">
        <f t="shared" si="74"/>
        <v>0</v>
      </c>
      <c r="CP107" s="174">
        <f t="shared" si="74"/>
        <v>0</v>
      </c>
      <c r="CQ107" s="174">
        <f t="shared" si="74"/>
        <v>0</v>
      </c>
      <c r="CR107" s="174">
        <f t="shared" si="74"/>
        <v>0</v>
      </c>
      <c r="CS107" s="174">
        <f t="shared" si="74"/>
        <v>0</v>
      </c>
      <c r="CT107" s="174">
        <f t="shared" si="74"/>
        <v>0</v>
      </c>
      <c r="CU107" s="174">
        <f t="shared" si="74"/>
        <v>0</v>
      </c>
      <c r="CV107" s="174">
        <f t="shared" si="74"/>
        <v>0</v>
      </c>
      <c r="CW107" s="174">
        <f t="shared" si="74"/>
        <v>0</v>
      </c>
      <c r="CX107" s="175">
        <f t="shared" si="74"/>
        <v>0</v>
      </c>
    </row>
    <row r="108" spans="1:102" ht="20" customHeight="1">
      <c r="A108" s="109"/>
      <c r="C108" s="109"/>
      <c r="D108" s="109"/>
      <c r="E108" s="109"/>
      <c r="F108" s="103"/>
      <c r="G108" s="103"/>
      <c r="H108" s="103"/>
      <c r="I108" s="103"/>
      <c r="J108" s="103"/>
      <c r="K108" s="103"/>
      <c r="L108" s="103"/>
      <c r="M108" s="103"/>
      <c r="N108" s="103"/>
      <c r="O108" s="103"/>
      <c r="P108" s="103"/>
      <c r="Q108" s="103"/>
      <c r="R108" s="103"/>
      <c r="S108" s="103"/>
      <c r="T108" s="103"/>
      <c r="U108" s="103"/>
      <c r="V108" s="103"/>
      <c r="W108" s="103"/>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c r="BA108" s="109"/>
      <c r="BB108" s="109"/>
      <c r="BC108" s="109"/>
      <c r="BD108" s="109"/>
      <c r="BE108" s="109"/>
      <c r="BF108" s="109"/>
      <c r="BG108" s="109"/>
      <c r="BH108" s="109"/>
      <c r="BI108" s="109"/>
      <c r="BJ108" s="109"/>
      <c r="BK108" s="109"/>
      <c r="BL108" s="109"/>
      <c r="BM108" s="109"/>
      <c r="BN108" s="109"/>
      <c r="BO108" s="109"/>
      <c r="BP108" s="109"/>
      <c r="BQ108" s="109"/>
      <c r="BR108" s="109"/>
      <c r="BS108" s="109"/>
      <c r="BT108" s="109"/>
      <c r="BU108" s="109"/>
      <c r="BV108" s="109"/>
      <c r="BW108" s="109"/>
      <c r="BX108" s="109"/>
      <c r="BY108" s="109"/>
      <c r="BZ108" s="109"/>
      <c r="CA108" s="109"/>
      <c r="CB108" s="109"/>
      <c r="CC108" s="109"/>
      <c r="CD108" s="109"/>
      <c r="CE108" s="109"/>
      <c r="CF108" s="109"/>
      <c r="CG108" s="109"/>
      <c r="CH108" s="109"/>
      <c r="CI108" s="109"/>
      <c r="CJ108" s="109"/>
      <c r="CK108" s="109"/>
      <c r="CL108" s="109"/>
      <c r="CM108" s="109"/>
      <c r="CN108" s="109"/>
      <c r="CO108" s="109"/>
      <c r="CP108" s="109"/>
      <c r="CQ108" s="109"/>
      <c r="CR108" s="109"/>
      <c r="CS108" s="109"/>
      <c r="CT108" s="109"/>
      <c r="CU108" s="109"/>
      <c r="CV108" s="109"/>
      <c r="CW108" s="109"/>
      <c r="CX108" s="109"/>
    </row>
    <row r="109" spans="1:102" ht="20" customHeight="1">
      <c r="A109" s="170">
        <f t="shared" si="50"/>
        <v>54429154.382141419</v>
      </c>
      <c r="B109" s="97" t="str">
        <f>"Total Investment (capital expenses or Capex) in real "&amp;C37&amp;"$"</f>
        <v>Total Investment (capital expenses or Capex) in real 2024$</v>
      </c>
      <c r="C109" s="179">
        <f t="shared" ref="C109:AH109" si="75">SUM(C88:C96)</f>
        <v>16985080.777353227</v>
      </c>
      <c r="D109" s="179">
        <f t="shared" si="75"/>
        <v>37444073.604788192</v>
      </c>
      <c r="E109" s="179">
        <f t="shared" si="75"/>
        <v>0</v>
      </c>
      <c r="F109" s="179">
        <f t="shared" si="75"/>
        <v>0</v>
      </c>
      <c r="G109" s="179">
        <f t="shared" si="75"/>
        <v>0</v>
      </c>
      <c r="H109" s="179">
        <f t="shared" si="75"/>
        <v>0</v>
      </c>
      <c r="I109" s="179">
        <f t="shared" si="75"/>
        <v>0</v>
      </c>
      <c r="J109" s="179">
        <f t="shared" si="75"/>
        <v>0</v>
      </c>
      <c r="K109" s="179">
        <f t="shared" si="75"/>
        <v>0</v>
      </c>
      <c r="L109" s="179">
        <f t="shared" si="75"/>
        <v>0</v>
      </c>
      <c r="M109" s="179">
        <f t="shared" si="75"/>
        <v>0</v>
      </c>
      <c r="N109" s="179">
        <f t="shared" si="75"/>
        <v>0</v>
      </c>
      <c r="O109" s="179">
        <f t="shared" si="75"/>
        <v>0</v>
      </c>
      <c r="P109" s="179">
        <f t="shared" si="75"/>
        <v>0</v>
      </c>
      <c r="Q109" s="179">
        <f t="shared" si="75"/>
        <v>0</v>
      </c>
      <c r="R109" s="179">
        <f t="shared" si="75"/>
        <v>0</v>
      </c>
      <c r="S109" s="179">
        <f t="shared" si="75"/>
        <v>0</v>
      </c>
      <c r="T109" s="179">
        <f t="shared" si="75"/>
        <v>0</v>
      </c>
      <c r="U109" s="179">
        <f t="shared" si="75"/>
        <v>0</v>
      </c>
      <c r="V109" s="179">
        <f t="shared" si="75"/>
        <v>0</v>
      </c>
      <c r="W109" s="179">
        <f t="shared" si="75"/>
        <v>0</v>
      </c>
      <c r="X109" s="179">
        <f t="shared" si="75"/>
        <v>0</v>
      </c>
      <c r="Y109" s="179">
        <f t="shared" si="75"/>
        <v>0</v>
      </c>
      <c r="Z109" s="179">
        <f t="shared" si="75"/>
        <v>0</v>
      </c>
      <c r="AA109" s="179">
        <f t="shared" si="75"/>
        <v>0</v>
      </c>
      <c r="AB109" s="179">
        <f t="shared" si="75"/>
        <v>0</v>
      </c>
      <c r="AC109" s="179">
        <f t="shared" si="75"/>
        <v>0</v>
      </c>
      <c r="AD109" s="179">
        <f t="shared" si="75"/>
        <v>0</v>
      </c>
      <c r="AE109" s="179">
        <f t="shared" si="75"/>
        <v>0</v>
      </c>
      <c r="AF109" s="179">
        <f t="shared" si="75"/>
        <v>0</v>
      </c>
      <c r="AG109" s="179">
        <f t="shared" si="75"/>
        <v>0</v>
      </c>
      <c r="AH109" s="179">
        <f t="shared" si="75"/>
        <v>0</v>
      </c>
      <c r="AI109" s="179">
        <f t="shared" ref="AI109:BN109" si="76">SUM(AI88:AI96)</f>
        <v>0</v>
      </c>
      <c r="AJ109" s="179">
        <f t="shared" si="76"/>
        <v>0</v>
      </c>
      <c r="AK109" s="179">
        <f t="shared" si="76"/>
        <v>0</v>
      </c>
      <c r="AL109" s="179">
        <f t="shared" si="76"/>
        <v>0</v>
      </c>
      <c r="AM109" s="179">
        <f t="shared" si="76"/>
        <v>0</v>
      </c>
      <c r="AN109" s="179">
        <f t="shared" si="76"/>
        <v>0</v>
      </c>
      <c r="AO109" s="179">
        <f t="shared" si="76"/>
        <v>0</v>
      </c>
      <c r="AP109" s="179">
        <f t="shared" si="76"/>
        <v>0</v>
      </c>
      <c r="AQ109" s="179">
        <f t="shared" si="76"/>
        <v>0</v>
      </c>
      <c r="AR109" s="179">
        <f t="shared" si="76"/>
        <v>0</v>
      </c>
      <c r="AS109" s="179">
        <f t="shared" si="76"/>
        <v>0</v>
      </c>
      <c r="AT109" s="179">
        <f t="shared" si="76"/>
        <v>0</v>
      </c>
      <c r="AU109" s="179">
        <f t="shared" si="76"/>
        <v>0</v>
      </c>
      <c r="AV109" s="179">
        <f t="shared" si="76"/>
        <v>0</v>
      </c>
      <c r="AW109" s="179">
        <f t="shared" si="76"/>
        <v>0</v>
      </c>
      <c r="AX109" s="179">
        <f t="shared" si="76"/>
        <v>0</v>
      </c>
      <c r="AY109" s="179">
        <f t="shared" si="76"/>
        <v>0</v>
      </c>
      <c r="AZ109" s="179">
        <f t="shared" si="76"/>
        <v>0</v>
      </c>
      <c r="BA109" s="179">
        <f t="shared" si="76"/>
        <v>0</v>
      </c>
      <c r="BB109" s="179">
        <f t="shared" si="76"/>
        <v>0</v>
      </c>
      <c r="BC109" s="179">
        <f t="shared" si="76"/>
        <v>0</v>
      </c>
      <c r="BD109" s="179">
        <f t="shared" si="76"/>
        <v>0</v>
      </c>
      <c r="BE109" s="179">
        <f t="shared" si="76"/>
        <v>0</v>
      </c>
      <c r="BF109" s="179">
        <f t="shared" si="76"/>
        <v>0</v>
      </c>
      <c r="BG109" s="179">
        <f t="shared" si="76"/>
        <v>0</v>
      </c>
      <c r="BH109" s="179">
        <f t="shared" si="76"/>
        <v>0</v>
      </c>
      <c r="BI109" s="179">
        <f t="shared" si="76"/>
        <v>0</v>
      </c>
      <c r="BJ109" s="179">
        <f t="shared" si="76"/>
        <v>0</v>
      </c>
      <c r="BK109" s="179">
        <f t="shared" si="76"/>
        <v>0</v>
      </c>
      <c r="BL109" s="179">
        <f t="shared" si="76"/>
        <v>0</v>
      </c>
      <c r="BM109" s="179">
        <f t="shared" si="76"/>
        <v>0</v>
      </c>
      <c r="BN109" s="179">
        <f t="shared" si="76"/>
        <v>0</v>
      </c>
      <c r="BO109" s="179">
        <f t="shared" ref="BO109:CX109" si="77">SUM(BO88:BO96)</f>
        <v>0</v>
      </c>
      <c r="BP109" s="179">
        <f t="shared" si="77"/>
        <v>0</v>
      </c>
      <c r="BQ109" s="179">
        <f t="shared" si="77"/>
        <v>0</v>
      </c>
      <c r="BR109" s="179">
        <f t="shared" si="77"/>
        <v>0</v>
      </c>
      <c r="BS109" s="179">
        <f t="shared" si="77"/>
        <v>0</v>
      </c>
      <c r="BT109" s="179">
        <f t="shared" si="77"/>
        <v>0</v>
      </c>
      <c r="BU109" s="179">
        <f t="shared" si="77"/>
        <v>0</v>
      </c>
      <c r="BV109" s="179">
        <f t="shared" si="77"/>
        <v>0</v>
      </c>
      <c r="BW109" s="179">
        <f t="shared" si="77"/>
        <v>0</v>
      </c>
      <c r="BX109" s="179">
        <f t="shared" si="77"/>
        <v>0</v>
      </c>
      <c r="BY109" s="179">
        <f t="shared" si="77"/>
        <v>0</v>
      </c>
      <c r="BZ109" s="179">
        <f t="shared" si="77"/>
        <v>0</v>
      </c>
      <c r="CA109" s="179">
        <f t="shared" si="77"/>
        <v>0</v>
      </c>
      <c r="CB109" s="179">
        <f t="shared" si="77"/>
        <v>0</v>
      </c>
      <c r="CC109" s="179">
        <f t="shared" si="77"/>
        <v>0</v>
      </c>
      <c r="CD109" s="179">
        <f t="shared" si="77"/>
        <v>0</v>
      </c>
      <c r="CE109" s="179">
        <f t="shared" si="77"/>
        <v>0</v>
      </c>
      <c r="CF109" s="179">
        <f t="shared" si="77"/>
        <v>0</v>
      </c>
      <c r="CG109" s="179">
        <f t="shared" si="77"/>
        <v>0</v>
      </c>
      <c r="CH109" s="179">
        <f t="shared" si="77"/>
        <v>0</v>
      </c>
      <c r="CI109" s="179">
        <f t="shared" si="77"/>
        <v>0</v>
      </c>
      <c r="CJ109" s="179">
        <f t="shared" si="77"/>
        <v>0</v>
      </c>
      <c r="CK109" s="179">
        <f t="shared" si="77"/>
        <v>0</v>
      </c>
      <c r="CL109" s="179">
        <f t="shared" si="77"/>
        <v>0</v>
      </c>
      <c r="CM109" s="179">
        <f t="shared" si="77"/>
        <v>0</v>
      </c>
      <c r="CN109" s="179">
        <f t="shared" si="77"/>
        <v>0</v>
      </c>
      <c r="CO109" s="179">
        <f t="shared" si="77"/>
        <v>0</v>
      </c>
      <c r="CP109" s="179">
        <f t="shared" si="77"/>
        <v>0</v>
      </c>
      <c r="CQ109" s="179">
        <f t="shared" si="77"/>
        <v>0</v>
      </c>
      <c r="CR109" s="179">
        <f t="shared" si="77"/>
        <v>0</v>
      </c>
      <c r="CS109" s="179">
        <f t="shared" si="77"/>
        <v>0</v>
      </c>
      <c r="CT109" s="179">
        <f t="shared" si="77"/>
        <v>0</v>
      </c>
      <c r="CU109" s="179">
        <f t="shared" si="77"/>
        <v>0</v>
      </c>
      <c r="CV109" s="179">
        <f t="shared" si="77"/>
        <v>0</v>
      </c>
      <c r="CW109" s="179">
        <f t="shared" si="77"/>
        <v>0</v>
      </c>
      <c r="CX109" s="179">
        <f t="shared" si="77"/>
        <v>0</v>
      </c>
    </row>
    <row r="110" spans="1:102" ht="20" customHeight="1">
      <c r="A110" s="170">
        <f>SUM(C110:CX110)</f>
        <v>291580662.62318045</v>
      </c>
      <c r="B110" s="97" t="str">
        <f>"Project Expenses (operating expenses or Opex) in real "&amp;C37&amp;"$"</f>
        <v>Project Expenses (operating expenses or Opex) in real 2024$</v>
      </c>
      <c r="C110" s="179">
        <f>SUM(C99:C107)</f>
        <v>0</v>
      </c>
      <c r="D110" s="179">
        <f>SUM(D99:D107)</f>
        <v>0</v>
      </c>
      <c r="E110" s="179">
        <f>SUM(E99:E107)</f>
        <v>9832534.2268899139</v>
      </c>
      <c r="F110" s="179">
        <f t="shared" ref="F110:BP110" si="78">SUM(F99:F107)</f>
        <v>9832534.2268899139</v>
      </c>
      <c r="G110" s="179">
        <f t="shared" si="78"/>
        <v>9832534.2268899139</v>
      </c>
      <c r="H110" s="179">
        <f t="shared" si="78"/>
        <v>9832534.2268899139</v>
      </c>
      <c r="I110" s="179">
        <f t="shared" si="78"/>
        <v>9832534.2268899139</v>
      </c>
      <c r="J110" s="179">
        <f t="shared" si="78"/>
        <v>9832534.2268899139</v>
      </c>
      <c r="K110" s="179">
        <f t="shared" si="78"/>
        <v>9832534.2268899139</v>
      </c>
      <c r="L110" s="179">
        <f t="shared" si="78"/>
        <v>9832534.2268899139</v>
      </c>
      <c r="M110" s="179">
        <f t="shared" si="78"/>
        <v>9832534.2268899139</v>
      </c>
      <c r="N110" s="179">
        <f t="shared" si="78"/>
        <v>9832534.2268899139</v>
      </c>
      <c r="O110" s="179">
        <f t="shared" si="78"/>
        <v>9832534.2268899139</v>
      </c>
      <c r="P110" s="179">
        <f t="shared" si="78"/>
        <v>9832534.2268899139</v>
      </c>
      <c r="Q110" s="179">
        <f t="shared" si="78"/>
        <v>9832534.2268899139</v>
      </c>
      <c r="R110" s="179">
        <f t="shared" si="78"/>
        <v>9832534.2268899139</v>
      </c>
      <c r="S110" s="179">
        <f t="shared" si="78"/>
        <v>9832534.2268899139</v>
      </c>
      <c r="T110" s="179">
        <f t="shared" si="78"/>
        <v>9832534.2268899139</v>
      </c>
      <c r="U110" s="179">
        <f t="shared" si="78"/>
        <v>9832534.2268899139</v>
      </c>
      <c r="V110" s="179">
        <f t="shared" si="78"/>
        <v>9832534.2268899139</v>
      </c>
      <c r="W110" s="179">
        <f t="shared" si="78"/>
        <v>9832534.2268899139</v>
      </c>
      <c r="X110" s="179">
        <f t="shared" si="78"/>
        <v>9832534.2268899139</v>
      </c>
      <c r="Y110" s="179">
        <f t="shared" si="78"/>
        <v>9832534.2268899139</v>
      </c>
      <c r="Z110" s="179">
        <f t="shared" si="78"/>
        <v>9832534.2268899139</v>
      </c>
      <c r="AA110" s="179">
        <f t="shared" si="78"/>
        <v>9832534.2268899139</v>
      </c>
      <c r="AB110" s="179">
        <f t="shared" si="78"/>
        <v>9832534.2268899139</v>
      </c>
      <c r="AC110" s="179">
        <f t="shared" si="78"/>
        <v>9832534.2268899139</v>
      </c>
      <c r="AD110" s="179">
        <f t="shared" si="78"/>
        <v>9832534.2268899139</v>
      </c>
      <c r="AE110" s="179">
        <f t="shared" si="78"/>
        <v>9832534.2268899139</v>
      </c>
      <c r="AF110" s="179">
        <f t="shared" si="78"/>
        <v>9832534.2268899139</v>
      </c>
      <c r="AG110" s="179">
        <f t="shared" si="78"/>
        <v>9832534.2268899139</v>
      </c>
      <c r="AH110" s="179">
        <f t="shared" si="78"/>
        <v>6437170.0433730222</v>
      </c>
      <c r="AI110" s="179">
        <f t="shared" si="78"/>
        <v>0</v>
      </c>
      <c r="AJ110" s="179">
        <f t="shared" si="78"/>
        <v>0</v>
      </c>
      <c r="AK110" s="179">
        <f t="shared" si="78"/>
        <v>0</v>
      </c>
      <c r="AL110" s="179">
        <f t="shared" si="78"/>
        <v>0</v>
      </c>
      <c r="AM110" s="179">
        <f t="shared" si="78"/>
        <v>0</v>
      </c>
      <c r="AN110" s="179">
        <f t="shared" si="78"/>
        <v>0</v>
      </c>
      <c r="AO110" s="179">
        <f t="shared" si="78"/>
        <v>0</v>
      </c>
      <c r="AP110" s="179">
        <f t="shared" si="78"/>
        <v>0</v>
      </c>
      <c r="AQ110" s="179">
        <f t="shared" si="78"/>
        <v>0</v>
      </c>
      <c r="AR110" s="179">
        <f t="shared" si="78"/>
        <v>0</v>
      </c>
      <c r="AS110" s="179">
        <f t="shared" si="78"/>
        <v>0</v>
      </c>
      <c r="AT110" s="179">
        <f t="shared" si="78"/>
        <v>0</v>
      </c>
      <c r="AU110" s="179">
        <f t="shared" si="78"/>
        <v>0</v>
      </c>
      <c r="AV110" s="179">
        <f t="shared" si="78"/>
        <v>0</v>
      </c>
      <c r="AW110" s="179">
        <f t="shared" si="78"/>
        <v>0</v>
      </c>
      <c r="AX110" s="179">
        <f t="shared" si="78"/>
        <v>0</v>
      </c>
      <c r="AY110" s="179">
        <f t="shared" si="78"/>
        <v>0</v>
      </c>
      <c r="AZ110" s="179">
        <f t="shared" si="78"/>
        <v>0</v>
      </c>
      <c r="BA110" s="179">
        <f t="shared" si="78"/>
        <v>0</v>
      </c>
      <c r="BB110" s="179">
        <f t="shared" si="78"/>
        <v>0</v>
      </c>
      <c r="BC110" s="179">
        <f t="shared" si="78"/>
        <v>0</v>
      </c>
      <c r="BD110" s="179">
        <f t="shared" si="78"/>
        <v>0</v>
      </c>
      <c r="BE110" s="179">
        <f t="shared" si="78"/>
        <v>0</v>
      </c>
      <c r="BF110" s="179">
        <f t="shared" si="78"/>
        <v>0</v>
      </c>
      <c r="BG110" s="179">
        <f t="shared" si="78"/>
        <v>0</v>
      </c>
      <c r="BH110" s="179">
        <f t="shared" si="78"/>
        <v>0</v>
      </c>
      <c r="BI110" s="179">
        <f t="shared" si="78"/>
        <v>0</v>
      </c>
      <c r="BJ110" s="179">
        <f t="shared" si="78"/>
        <v>0</v>
      </c>
      <c r="BK110" s="179">
        <f t="shared" si="78"/>
        <v>0</v>
      </c>
      <c r="BL110" s="179">
        <f t="shared" si="78"/>
        <v>0</v>
      </c>
      <c r="BM110" s="179">
        <f t="shared" si="78"/>
        <v>0</v>
      </c>
      <c r="BN110" s="179">
        <f t="shared" si="78"/>
        <v>0</v>
      </c>
      <c r="BO110" s="179">
        <f t="shared" si="78"/>
        <v>0</v>
      </c>
      <c r="BP110" s="179">
        <f t="shared" si="78"/>
        <v>0</v>
      </c>
      <c r="BQ110" s="179">
        <f t="shared" ref="BQ110:CX110" si="79">SUM(BQ99:BQ107)</f>
        <v>0</v>
      </c>
      <c r="BR110" s="179">
        <f t="shared" si="79"/>
        <v>0</v>
      </c>
      <c r="BS110" s="179">
        <f t="shared" si="79"/>
        <v>0</v>
      </c>
      <c r="BT110" s="179">
        <f t="shared" si="79"/>
        <v>0</v>
      </c>
      <c r="BU110" s="179">
        <f t="shared" si="79"/>
        <v>0</v>
      </c>
      <c r="BV110" s="179">
        <f t="shared" si="79"/>
        <v>0</v>
      </c>
      <c r="BW110" s="179">
        <f t="shared" si="79"/>
        <v>0</v>
      </c>
      <c r="BX110" s="179">
        <f t="shared" si="79"/>
        <v>0</v>
      </c>
      <c r="BY110" s="179">
        <f t="shared" si="79"/>
        <v>0</v>
      </c>
      <c r="BZ110" s="179">
        <f t="shared" si="79"/>
        <v>0</v>
      </c>
      <c r="CA110" s="179">
        <f t="shared" si="79"/>
        <v>0</v>
      </c>
      <c r="CB110" s="179">
        <f t="shared" si="79"/>
        <v>0</v>
      </c>
      <c r="CC110" s="179">
        <f t="shared" si="79"/>
        <v>0</v>
      </c>
      <c r="CD110" s="179">
        <f t="shared" si="79"/>
        <v>0</v>
      </c>
      <c r="CE110" s="179">
        <f t="shared" si="79"/>
        <v>0</v>
      </c>
      <c r="CF110" s="179">
        <f t="shared" si="79"/>
        <v>0</v>
      </c>
      <c r="CG110" s="179">
        <f t="shared" si="79"/>
        <v>0</v>
      </c>
      <c r="CH110" s="179">
        <f t="shared" si="79"/>
        <v>0</v>
      </c>
      <c r="CI110" s="179">
        <f t="shared" si="79"/>
        <v>0</v>
      </c>
      <c r="CJ110" s="179">
        <f t="shared" si="79"/>
        <v>0</v>
      </c>
      <c r="CK110" s="179">
        <f t="shared" si="79"/>
        <v>0</v>
      </c>
      <c r="CL110" s="179">
        <f t="shared" si="79"/>
        <v>0</v>
      </c>
      <c r="CM110" s="179">
        <f t="shared" si="79"/>
        <v>0</v>
      </c>
      <c r="CN110" s="179">
        <f t="shared" si="79"/>
        <v>0</v>
      </c>
      <c r="CO110" s="179">
        <f t="shared" si="79"/>
        <v>0</v>
      </c>
      <c r="CP110" s="179">
        <f t="shared" si="79"/>
        <v>0</v>
      </c>
      <c r="CQ110" s="179">
        <f t="shared" si="79"/>
        <v>0</v>
      </c>
      <c r="CR110" s="179">
        <f t="shared" si="79"/>
        <v>0</v>
      </c>
      <c r="CS110" s="179">
        <f t="shared" si="79"/>
        <v>0</v>
      </c>
      <c r="CT110" s="179">
        <f t="shared" si="79"/>
        <v>0</v>
      </c>
      <c r="CU110" s="179">
        <f t="shared" si="79"/>
        <v>0</v>
      </c>
      <c r="CV110" s="179">
        <f t="shared" si="79"/>
        <v>0</v>
      </c>
      <c r="CW110" s="179">
        <f t="shared" si="79"/>
        <v>0</v>
      </c>
      <c r="CX110" s="179">
        <f t="shared" si="79"/>
        <v>0</v>
      </c>
    </row>
    <row r="111" spans="1:102" ht="20" customHeight="1">
      <c r="A111" s="170"/>
      <c r="B111" s="97"/>
      <c r="C111" s="179"/>
      <c r="D111" s="179"/>
      <c r="E111" s="179"/>
      <c r="F111" s="180"/>
      <c r="G111" s="180"/>
      <c r="H111" s="180"/>
      <c r="I111" s="180"/>
      <c r="J111" s="180"/>
      <c r="K111" s="180"/>
      <c r="L111" s="180"/>
      <c r="M111" s="180"/>
      <c r="N111" s="180"/>
      <c r="O111" s="180"/>
      <c r="P111" s="180"/>
      <c r="Q111" s="180"/>
      <c r="R111" s="180"/>
      <c r="S111" s="180"/>
      <c r="T111" s="180"/>
      <c r="U111" s="180"/>
      <c r="V111" s="180"/>
      <c r="W111" s="180"/>
      <c r="X111" s="179"/>
      <c r="Y111" s="179"/>
      <c r="Z111" s="179"/>
      <c r="AA111" s="179"/>
      <c r="AB111" s="179"/>
      <c r="AC111" s="179"/>
      <c r="AD111" s="179"/>
      <c r="AE111" s="179"/>
      <c r="AF111" s="179"/>
      <c r="AG111" s="179"/>
      <c r="AH111" s="179"/>
      <c r="AI111" s="179"/>
      <c r="AJ111" s="179"/>
      <c r="AK111" s="179"/>
      <c r="AL111" s="179"/>
      <c r="AM111" s="179"/>
      <c r="AN111" s="179"/>
      <c r="AO111" s="179"/>
      <c r="AP111" s="179"/>
      <c r="AQ111" s="179"/>
      <c r="AR111" s="179"/>
      <c r="AS111" s="179"/>
      <c r="AT111" s="179"/>
      <c r="AU111" s="179"/>
      <c r="AV111" s="179"/>
      <c r="AW111" s="179"/>
      <c r="AX111" s="179"/>
      <c r="AY111" s="179"/>
      <c r="AZ111" s="179"/>
      <c r="BA111" s="179"/>
      <c r="BB111" s="179"/>
      <c r="BC111" s="179"/>
      <c r="BD111" s="179"/>
      <c r="BE111" s="179"/>
      <c r="BF111" s="179"/>
      <c r="BG111" s="179"/>
      <c r="BH111" s="179"/>
      <c r="BI111" s="179"/>
      <c r="BJ111" s="179"/>
      <c r="BK111" s="179"/>
      <c r="BL111" s="179"/>
      <c r="BM111" s="179"/>
      <c r="BN111" s="179"/>
      <c r="BO111" s="179"/>
      <c r="BP111" s="179"/>
      <c r="BQ111" s="179"/>
      <c r="BR111" s="179"/>
      <c r="BS111" s="179"/>
      <c r="BT111" s="179"/>
      <c r="BU111" s="179"/>
      <c r="BV111" s="179"/>
      <c r="BW111" s="179"/>
      <c r="BX111" s="179"/>
      <c r="BY111" s="179"/>
      <c r="BZ111" s="179"/>
      <c r="CA111" s="179"/>
      <c r="CB111" s="179"/>
      <c r="CC111" s="179"/>
      <c r="CD111" s="179"/>
      <c r="CE111" s="179"/>
      <c r="CF111" s="179"/>
      <c r="CG111" s="179"/>
      <c r="CH111" s="179"/>
      <c r="CI111" s="179"/>
      <c r="CJ111" s="179"/>
      <c r="CK111" s="179"/>
      <c r="CL111" s="179"/>
      <c r="CM111" s="179"/>
      <c r="CN111" s="179"/>
      <c r="CO111" s="179"/>
      <c r="CP111" s="179"/>
      <c r="CQ111" s="179"/>
      <c r="CR111" s="179"/>
      <c r="CS111" s="179"/>
      <c r="CT111" s="179"/>
      <c r="CU111" s="179"/>
      <c r="CV111" s="179"/>
      <c r="CW111" s="179"/>
      <c r="CX111" s="179"/>
    </row>
    <row r="112" spans="1:102" ht="20" customHeight="1">
      <c r="A112" s="170"/>
      <c r="B112" s="91" t="s">
        <v>284</v>
      </c>
      <c r="C112" s="179"/>
      <c r="D112" s="179"/>
      <c r="E112" s="179"/>
      <c r="F112" s="180"/>
      <c r="G112" s="180"/>
      <c r="H112" s="180"/>
      <c r="I112" s="180"/>
      <c r="J112" s="180"/>
      <c r="K112" s="180"/>
      <c r="L112" s="180"/>
      <c r="M112" s="180"/>
      <c r="N112" s="180"/>
      <c r="O112" s="180"/>
      <c r="P112" s="180"/>
      <c r="Q112" s="180"/>
      <c r="R112" s="180"/>
      <c r="S112" s="180"/>
      <c r="T112" s="180"/>
      <c r="U112" s="180"/>
      <c r="V112" s="180"/>
      <c r="W112" s="180"/>
      <c r="X112" s="179"/>
      <c r="Y112" s="179"/>
      <c r="Z112" s="179"/>
      <c r="AA112" s="179"/>
      <c r="AB112" s="179"/>
      <c r="AC112" s="179"/>
      <c r="AD112" s="179"/>
      <c r="AE112" s="179"/>
      <c r="AF112" s="179"/>
      <c r="AG112" s="179"/>
      <c r="AH112" s="179"/>
      <c r="AI112" s="179"/>
      <c r="AJ112" s="179"/>
      <c r="AK112" s="179"/>
      <c r="AL112" s="179"/>
      <c r="AM112" s="179"/>
      <c r="AN112" s="179"/>
      <c r="AO112" s="179"/>
      <c r="AP112" s="179"/>
      <c r="AQ112" s="179"/>
      <c r="AR112" s="179"/>
      <c r="AS112" s="179"/>
      <c r="AT112" s="179"/>
      <c r="AU112" s="179"/>
      <c r="AV112" s="179"/>
      <c r="AW112" s="179"/>
      <c r="AX112" s="179"/>
      <c r="AY112" s="179"/>
      <c r="AZ112" s="179"/>
      <c r="BA112" s="179"/>
      <c r="BB112" s="179"/>
      <c r="BC112" s="179"/>
      <c r="BD112" s="179"/>
      <c r="BE112" s="179"/>
      <c r="BF112" s="179"/>
      <c r="BG112" s="179"/>
      <c r="BH112" s="179"/>
      <c r="BI112" s="179"/>
      <c r="BJ112" s="179"/>
      <c r="BK112" s="179"/>
      <c r="BL112" s="179"/>
      <c r="BM112" s="179"/>
      <c r="BN112" s="179"/>
      <c r="BO112" s="179"/>
      <c r="BP112" s="179"/>
      <c r="BQ112" s="179"/>
      <c r="BR112" s="179"/>
      <c r="BS112" s="179"/>
      <c r="BT112" s="179"/>
      <c r="BU112" s="179"/>
      <c r="BV112" s="179"/>
      <c r="BW112" s="179"/>
      <c r="BX112" s="179"/>
      <c r="BY112" s="179"/>
      <c r="BZ112" s="179"/>
      <c r="CA112" s="179"/>
      <c r="CB112" s="179"/>
      <c r="CC112" s="179"/>
      <c r="CD112" s="179"/>
      <c r="CE112" s="179"/>
      <c r="CF112" s="179"/>
      <c r="CG112" s="179"/>
      <c r="CH112" s="179"/>
      <c r="CI112" s="179"/>
      <c r="CJ112" s="179"/>
      <c r="CK112" s="179"/>
      <c r="CL112" s="179"/>
      <c r="CM112" s="179"/>
      <c r="CN112" s="179"/>
      <c r="CO112" s="179"/>
      <c r="CP112" s="179"/>
      <c r="CQ112" s="179"/>
      <c r="CR112" s="179"/>
      <c r="CS112" s="179"/>
      <c r="CT112" s="179"/>
      <c r="CU112" s="179"/>
      <c r="CV112" s="179"/>
      <c r="CW112" s="179"/>
      <c r="CX112" s="179"/>
    </row>
    <row r="113" spans="1:102" ht="20" customHeight="1">
      <c r="A113" s="170">
        <f>SUM(C113:CX113)</f>
        <v>55290368.075051546</v>
      </c>
      <c r="B113" s="97" t="s">
        <v>285</v>
      </c>
      <c r="C113" s="179">
        <f>C109*C$79</f>
        <v>16985080.777353227</v>
      </c>
      <c r="D113" s="179">
        <f t="shared" ref="D113:BO113" si="80">D109*D$79</f>
        <v>38305287.297698319</v>
      </c>
      <c r="E113" s="179">
        <f t="shared" si="80"/>
        <v>0</v>
      </c>
      <c r="F113" s="179">
        <f t="shared" si="80"/>
        <v>0</v>
      </c>
      <c r="G113" s="179">
        <f t="shared" si="80"/>
        <v>0</v>
      </c>
      <c r="H113" s="179">
        <f t="shared" si="80"/>
        <v>0</v>
      </c>
      <c r="I113" s="179">
        <f t="shared" si="80"/>
        <v>0</v>
      </c>
      <c r="J113" s="179">
        <f t="shared" si="80"/>
        <v>0</v>
      </c>
      <c r="K113" s="179">
        <f t="shared" si="80"/>
        <v>0</v>
      </c>
      <c r="L113" s="179">
        <f t="shared" si="80"/>
        <v>0</v>
      </c>
      <c r="M113" s="179">
        <f t="shared" si="80"/>
        <v>0</v>
      </c>
      <c r="N113" s="179">
        <f t="shared" si="80"/>
        <v>0</v>
      </c>
      <c r="O113" s="179">
        <f t="shared" si="80"/>
        <v>0</v>
      </c>
      <c r="P113" s="179">
        <f t="shared" si="80"/>
        <v>0</v>
      </c>
      <c r="Q113" s="179">
        <f t="shared" si="80"/>
        <v>0</v>
      </c>
      <c r="R113" s="179">
        <f t="shared" si="80"/>
        <v>0</v>
      </c>
      <c r="S113" s="179">
        <f t="shared" si="80"/>
        <v>0</v>
      </c>
      <c r="T113" s="179">
        <f t="shared" si="80"/>
        <v>0</v>
      </c>
      <c r="U113" s="179">
        <f t="shared" si="80"/>
        <v>0</v>
      </c>
      <c r="V113" s="179">
        <f t="shared" si="80"/>
        <v>0</v>
      </c>
      <c r="W113" s="179">
        <f t="shared" si="80"/>
        <v>0</v>
      </c>
      <c r="X113" s="179">
        <f t="shared" si="80"/>
        <v>0</v>
      </c>
      <c r="Y113" s="179">
        <f t="shared" si="80"/>
        <v>0</v>
      </c>
      <c r="Z113" s="179">
        <f t="shared" si="80"/>
        <v>0</v>
      </c>
      <c r="AA113" s="179">
        <f t="shared" si="80"/>
        <v>0</v>
      </c>
      <c r="AB113" s="179">
        <f t="shared" si="80"/>
        <v>0</v>
      </c>
      <c r="AC113" s="179">
        <f t="shared" si="80"/>
        <v>0</v>
      </c>
      <c r="AD113" s="179">
        <f t="shared" si="80"/>
        <v>0</v>
      </c>
      <c r="AE113" s="179">
        <f t="shared" si="80"/>
        <v>0</v>
      </c>
      <c r="AF113" s="179">
        <f t="shared" si="80"/>
        <v>0</v>
      </c>
      <c r="AG113" s="179">
        <f t="shared" si="80"/>
        <v>0</v>
      </c>
      <c r="AH113" s="179">
        <f t="shared" si="80"/>
        <v>0</v>
      </c>
      <c r="AI113" s="179">
        <f t="shared" si="80"/>
        <v>0</v>
      </c>
      <c r="AJ113" s="179">
        <f t="shared" si="80"/>
        <v>0</v>
      </c>
      <c r="AK113" s="179">
        <f t="shared" si="80"/>
        <v>0</v>
      </c>
      <c r="AL113" s="179">
        <f t="shared" si="80"/>
        <v>0</v>
      </c>
      <c r="AM113" s="179">
        <f t="shared" si="80"/>
        <v>0</v>
      </c>
      <c r="AN113" s="179">
        <f t="shared" si="80"/>
        <v>0</v>
      </c>
      <c r="AO113" s="179">
        <f t="shared" si="80"/>
        <v>0</v>
      </c>
      <c r="AP113" s="179">
        <f t="shared" si="80"/>
        <v>0</v>
      </c>
      <c r="AQ113" s="179">
        <f t="shared" si="80"/>
        <v>0</v>
      </c>
      <c r="AR113" s="179">
        <f t="shared" si="80"/>
        <v>0</v>
      </c>
      <c r="AS113" s="179">
        <f t="shared" si="80"/>
        <v>0</v>
      </c>
      <c r="AT113" s="179">
        <f t="shared" si="80"/>
        <v>0</v>
      </c>
      <c r="AU113" s="179">
        <f t="shared" si="80"/>
        <v>0</v>
      </c>
      <c r="AV113" s="179">
        <f t="shared" si="80"/>
        <v>0</v>
      </c>
      <c r="AW113" s="179">
        <f t="shared" si="80"/>
        <v>0</v>
      </c>
      <c r="AX113" s="179">
        <f t="shared" si="80"/>
        <v>0</v>
      </c>
      <c r="AY113" s="179">
        <f t="shared" si="80"/>
        <v>0</v>
      </c>
      <c r="AZ113" s="179">
        <f t="shared" si="80"/>
        <v>0</v>
      </c>
      <c r="BA113" s="179">
        <f t="shared" si="80"/>
        <v>0</v>
      </c>
      <c r="BB113" s="179">
        <f t="shared" si="80"/>
        <v>0</v>
      </c>
      <c r="BC113" s="179">
        <f t="shared" si="80"/>
        <v>0</v>
      </c>
      <c r="BD113" s="179">
        <f t="shared" si="80"/>
        <v>0</v>
      </c>
      <c r="BE113" s="179">
        <f t="shared" si="80"/>
        <v>0</v>
      </c>
      <c r="BF113" s="179">
        <f t="shared" si="80"/>
        <v>0</v>
      </c>
      <c r="BG113" s="179">
        <f t="shared" si="80"/>
        <v>0</v>
      </c>
      <c r="BH113" s="179">
        <f t="shared" si="80"/>
        <v>0</v>
      </c>
      <c r="BI113" s="179">
        <f t="shared" si="80"/>
        <v>0</v>
      </c>
      <c r="BJ113" s="179">
        <f t="shared" si="80"/>
        <v>0</v>
      </c>
      <c r="BK113" s="179">
        <f t="shared" si="80"/>
        <v>0</v>
      </c>
      <c r="BL113" s="179">
        <f t="shared" si="80"/>
        <v>0</v>
      </c>
      <c r="BM113" s="179">
        <f t="shared" si="80"/>
        <v>0</v>
      </c>
      <c r="BN113" s="179">
        <f t="shared" si="80"/>
        <v>0</v>
      </c>
      <c r="BO113" s="179">
        <f t="shared" si="80"/>
        <v>0</v>
      </c>
      <c r="BP113" s="179">
        <f t="shared" ref="BP113:CX113" si="81">BP109*BP$79</f>
        <v>0</v>
      </c>
      <c r="BQ113" s="179">
        <f t="shared" si="81"/>
        <v>0</v>
      </c>
      <c r="BR113" s="179">
        <f t="shared" si="81"/>
        <v>0</v>
      </c>
      <c r="BS113" s="179">
        <f t="shared" si="81"/>
        <v>0</v>
      </c>
      <c r="BT113" s="179">
        <f t="shared" si="81"/>
        <v>0</v>
      </c>
      <c r="BU113" s="179">
        <f t="shared" si="81"/>
        <v>0</v>
      </c>
      <c r="BV113" s="179">
        <f t="shared" si="81"/>
        <v>0</v>
      </c>
      <c r="BW113" s="179">
        <f t="shared" si="81"/>
        <v>0</v>
      </c>
      <c r="BX113" s="179">
        <f t="shared" si="81"/>
        <v>0</v>
      </c>
      <c r="BY113" s="179">
        <f t="shared" si="81"/>
        <v>0</v>
      </c>
      <c r="BZ113" s="179">
        <f t="shared" si="81"/>
        <v>0</v>
      </c>
      <c r="CA113" s="179">
        <f t="shared" si="81"/>
        <v>0</v>
      </c>
      <c r="CB113" s="179">
        <f t="shared" si="81"/>
        <v>0</v>
      </c>
      <c r="CC113" s="179">
        <f t="shared" si="81"/>
        <v>0</v>
      </c>
      <c r="CD113" s="179">
        <f t="shared" si="81"/>
        <v>0</v>
      </c>
      <c r="CE113" s="179">
        <f t="shared" si="81"/>
        <v>0</v>
      </c>
      <c r="CF113" s="179">
        <f t="shared" si="81"/>
        <v>0</v>
      </c>
      <c r="CG113" s="179">
        <f t="shared" si="81"/>
        <v>0</v>
      </c>
      <c r="CH113" s="179">
        <f t="shared" si="81"/>
        <v>0</v>
      </c>
      <c r="CI113" s="179">
        <f t="shared" si="81"/>
        <v>0</v>
      </c>
      <c r="CJ113" s="179">
        <f t="shared" si="81"/>
        <v>0</v>
      </c>
      <c r="CK113" s="179">
        <f t="shared" si="81"/>
        <v>0</v>
      </c>
      <c r="CL113" s="179">
        <f t="shared" si="81"/>
        <v>0</v>
      </c>
      <c r="CM113" s="179">
        <f t="shared" si="81"/>
        <v>0</v>
      </c>
      <c r="CN113" s="179">
        <f t="shared" si="81"/>
        <v>0</v>
      </c>
      <c r="CO113" s="179">
        <f t="shared" si="81"/>
        <v>0</v>
      </c>
      <c r="CP113" s="179">
        <f t="shared" si="81"/>
        <v>0</v>
      </c>
      <c r="CQ113" s="179">
        <f t="shared" si="81"/>
        <v>0</v>
      </c>
      <c r="CR113" s="179">
        <f t="shared" si="81"/>
        <v>0</v>
      </c>
      <c r="CS113" s="179">
        <f t="shared" si="81"/>
        <v>0</v>
      </c>
      <c r="CT113" s="179">
        <f t="shared" si="81"/>
        <v>0</v>
      </c>
      <c r="CU113" s="179">
        <f t="shared" si="81"/>
        <v>0</v>
      </c>
      <c r="CV113" s="179">
        <f t="shared" si="81"/>
        <v>0</v>
      </c>
      <c r="CW113" s="179">
        <f t="shared" si="81"/>
        <v>0</v>
      </c>
      <c r="CX113" s="179">
        <f t="shared" si="81"/>
        <v>0</v>
      </c>
    </row>
    <row r="114" spans="1:102" ht="20" customHeight="1">
      <c r="A114" s="170">
        <f t="shared" ref="A114" si="82">SUM(C114:CX114)</f>
        <v>430765951.69150341</v>
      </c>
      <c r="B114" s="97" t="s">
        <v>152</v>
      </c>
      <c r="C114" s="179">
        <f>C110*C$79</f>
        <v>0</v>
      </c>
      <c r="D114" s="179">
        <f t="shared" ref="D114:BO114" si="83">D110*D$79</f>
        <v>0</v>
      </c>
      <c r="E114" s="179">
        <f t="shared" si="83"/>
        <v>10290032.211932873</v>
      </c>
      <c r="F114" s="179">
        <f t="shared" si="83"/>
        <v>10526702.952807328</v>
      </c>
      <c r="G114" s="179">
        <f t="shared" si="83"/>
        <v>10768817.120721895</v>
      </c>
      <c r="H114" s="179">
        <f t="shared" si="83"/>
        <v>11016499.914498497</v>
      </c>
      <c r="I114" s="179">
        <f t="shared" si="83"/>
        <v>11269879.412531961</v>
      </c>
      <c r="J114" s="179">
        <f t="shared" si="83"/>
        <v>11529086.639020195</v>
      </c>
      <c r="K114" s="179">
        <f t="shared" si="83"/>
        <v>11794255.63171766</v>
      </c>
      <c r="L114" s="179">
        <f t="shared" si="83"/>
        <v>12065523.511247164</v>
      </c>
      <c r="M114" s="179">
        <f t="shared" si="83"/>
        <v>12343030.552005848</v>
      </c>
      <c r="N114" s="179">
        <f t="shared" si="83"/>
        <v>12626920.254701981</v>
      </c>
      <c r="O114" s="179">
        <f t="shared" si="83"/>
        <v>12917339.420560127</v>
      </c>
      <c r="P114" s="179">
        <f t="shared" si="83"/>
        <v>13214438.227233008</v>
      </c>
      <c r="Q114" s="179">
        <f t="shared" si="83"/>
        <v>13518370.306459367</v>
      </c>
      <c r="R114" s="179">
        <f t="shared" si="83"/>
        <v>13829292.823507929</v>
      </c>
      <c r="S114" s="179">
        <f t="shared" si="83"/>
        <v>14147366.558448611</v>
      </c>
      <c r="T114" s="179">
        <f t="shared" si="83"/>
        <v>14472755.989292929</v>
      </c>
      <c r="U114" s="179">
        <f t="shared" si="83"/>
        <v>14805629.377046663</v>
      </c>
      <c r="V114" s="179">
        <f t="shared" si="83"/>
        <v>15146158.852718735</v>
      </c>
      <c r="W114" s="179">
        <f t="shared" si="83"/>
        <v>15494520.506331263</v>
      </c>
      <c r="X114" s="179">
        <f t="shared" si="83"/>
        <v>15850894.477976883</v>
      </c>
      <c r="Y114" s="179">
        <f t="shared" si="83"/>
        <v>16215465.050970349</v>
      </c>
      <c r="Z114" s="179">
        <f t="shared" si="83"/>
        <v>16588420.747142667</v>
      </c>
      <c r="AA114" s="179">
        <f t="shared" si="83"/>
        <v>16969954.424326945</v>
      </c>
      <c r="AB114" s="179">
        <f t="shared" si="83"/>
        <v>17360263.376086462</v>
      </c>
      <c r="AC114" s="179">
        <f t="shared" si="83"/>
        <v>17759549.433736451</v>
      </c>
      <c r="AD114" s="179">
        <f t="shared" si="83"/>
        <v>18168019.070712388</v>
      </c>
      <c r="AE114" s="179">
        <f t="shared" si="83"/>
        <v>18585883.50933877</v>
      </c>
      <c r="AF114" s="179">
        <f t="shared" si="83"/>
        <v>19013358.83005356</v>
      </c>
      <c r="AG114" s="179">
        <f t="shared" si="83"/>
        <v>19450666.083144791</v>
      </c>
      <c r="AH114" s="179">
        <f t="shared" si="83"/>
        <v>13026856.425230021</v>
      </c>
      <c r="AI114" s="179">
        <f t="shared" si="83"/>
        <v>0</v>
      </c>
      <c r="AJ114" s="179">
        <f t="shared" si="83"/>
        <v>0</v>
      </c>
      <c r="AK114" s="179">
        <f t="shared" si="83"/>
        <v>0</v>
      </c>
      <c r="AL114" s="179">
        <f t="shared" si="83"/>
        <v>0</v>
      </c>
      <c r="AM114" s="179">
        <f t="shared" si="83"/>
        <v>0</v>
      </c>
      <c r="AN114" s="179">
        <f t="shared" si="83"/>
        <v>0</v>
      </c>
      <c r="AO114" s="179">
        <f t="shared" si="83"/>
        <v>0</v>
      </c>
      <c r="AP114" s="179">
        <f t="shared" si="83"/>
        <v>0</v>
      </c>
      <c r="AQ114" s="179">
        <f t="shared" si="83"/>
        <v>0</v>
      </c>
      <c r="AR114" s="179">
        <f t="shared" si="83"/>
        <v>0</v>
      </c>
      <c r="AS114" s="179">
        <f t="shared" si="83"/>
        <v>0</v>
      </c>
      <c r="AT114" s="179">
        <f t="shared" si="83"/>
        <v>0</v>
      </c>
      <c r="AU114" s="179">
        <f t="shared" si="83"/>
        <v>0</v>
      </c>
      <c r="AV114" s="179">
        <f t="shared" si="83"/>
        <v>0</v>
      </c>
      <c r="AW114" s="179">
        <f t="shared" si="83"/>
        <v>0</v>
      </c>
      <c r="AX114" s="179">
        <f t="shared" si="83"/>
        <v>0</v>
      </c>
      <c r="AY114" s="179">
        <f t="shared" si="83"/>
        <v>0</v>
      </c>
      <c r="AZ114" s="179">
        <f t="shared" si="83"/>
        <v>0</v>
      </c>
      <c r="BA114" s="179">
        <f t="shared" si="83"/>
        <v>0</v>
      </c>
      <c r="BB114" s="179">
        <f t="shared" si="83"/>
        <v>0</v>
      </c>
      <c r="BC114" s="179">
        <f t="shared" si="83"/>
        <v>0</v>
      </c>
      <c r="BD114" s="179">
        <f t="shared" si="83"/>
        <v>0</v>
      </c>
      <c r="BE114" s="179">
        <f t="shared" si="83"/>
        <v>0</v>
      </c>
      <c r="BF114" s="179">
        <f t="shared" si="83"/>
        <v>0</v>
      </c>
      <c r="BG114" s="179">
        <f t="shared" si="83"/>
        <v>0</v>
      </c>
      <c r="BH114" s="179">
        <f t="shared" si="83"/>
        <v>0</v>
      </c>
      <c r="BI114" s="179">
        <f t="shared" si="83"/>
        <v>0</v>
      </c>
      <c r="BJ114" s="179">
        <f t="shared" si="83"/>
        <v>0</v>
      </c>
      <c r="BK114" s="179">
        <f t="shared" si="83"/>
        <v>0</v>
      </c>
      <c r="BL114" s="179">
        <f t="shared" si="83"/>
        <v>0</v>
      </c>
      <c r="BM114" s="179">
        <f t="shared" si="83"/>
        <v>0</v>
      </c>
      <c r="BN114" s="179">
        <f t="shared" si="83"/>
        <v>0</v>
      </c>
      <c r="BO114" s="179">
        <f t="shared" si="83"/>
        <v>0</v>
      </c>
      <c r="BP114" s="179">
        <f t="shared" ref="BP114:CX114" si="84">BP110*BP$79</f>
        <v>0</v>
      </c>
      <c r="BQ114" s="179">
        <f t="shared" si="84"/>
        <v>0</v>
      </c>
      <c r="BR114" s="179">
        <f t="shared" si="84"/>
        <v>0</v>
      </c>
      <c r="BS114" s="179">
        <f t="shared" si="84"/>
        <v>0</v>
      </c>
      <c r="BT114" s="179">
        <f t="shared" si="84"/>
        <v>0</v>
      </c>
      <c r="BU114" s="179">
        <f t="shared" si="84"/>
        <v>0</v>
      </c>
      <c r="BV114" s="179">
        <f t="shared" si="84"/>
        <v>0</v>
      </c>
      <c r="BW114" s="179">
        <f t="shared" si="84"/>
        <v>0</v>
      </c>
      <c r="BX114" s="179">
        <f t="shared" si="84"/>
        <v>0</v>
      </c>
      <c r="BY114" s="179">
        <f t="shared" si="84"/>
        <v>0</v>
      </c>
      <c r="BZ114" s="179">
        <f t="shared" si="84"/>
        <v>0</v>
      </c>
      <c r="CA114" s="179">
        <f t="shared" si="84"/>
        <v>0</v>
      </c>
      <c r="CB114" s="179">
        <f t="shared" si="84"/>
        <v>0</v>
      </c>
      <c r="CC114" s="179">
        <f t="shared" si="84"/>
        <v>0</v>
      </c>
      <c r="CD114" s="179">
        <f t="shared" si="84"/>
        <v>0</v>
      </c>
      <c r="CE114" s="179">
        <f t="shared" si="84"/>
        <v>0</v>
      </c>
      <c r="CF114" s="179">
        <f t="shared" si="84"/>
        <v>0</v>
      </c>
      <c r="CG114" s="179">
        <f t="shared" si="84"/>
        <v>0</v>
      </c>
      <c r="CH114" s="179">
        <f t="shared" si="84"/>
        <v>0</v>
      </c>
      <c r="CI114" s="179">
        <f t="shared" si="84"/>
        <v>0</v>
      </c>
      <c r="CJ114" s="179">
        <f t="shared" si="84"/>
        <v>0</v>
      </c>
      <c r="CK114" s="179">
        <f t="shared" si="84"/>
        <v>0</v>
      </c>
      <c r="CL114" s="179">
        <f t="shared" si="84"/>
        <v>0</v>
      </c>
      <c r="CM114" s="179">
        <f t="shared" si="84"/>
        <v>0</v>
      </c>
      <c r="CN114" s="179">
        <f t="shared" si="84"/>
        <v>0</v>
      </c>
      <c r="CO114" s="179">
        <f t="shared" si="84"/>
        <v>0</v>
      </c>
      <c r="CP114" s="179">
        <f t="shared" si="84"/>
        <v>0</v>
      </c>
      <c r="CQ114" s="179">
        <f t="shared" si="84"/>
        <v>0</v>
      </c>
      <c r="CR114" s="179">
        <f t="shared" si="84"/>
        <v>0</v>
      </c>
      <c r="CS114" s="179">
        <f t="shared" si="84"/>
        <v>0</v>
      </c>
      <c r="CT114" s="179">
        <f t="shared" si="84"/>
        <v>0</v>
      </c>
      <c r="CU114" s="179">
        <f t="shared" si="84"/>
        <v>0</v>
      </c>
      <c r="CV114" s="179">
        <f t="shared" si="84"/>
        <v>0</v>
      </c>
      <c r="CW114" s="179">
        <f t="shared" si="84"/>
        <v>0</v>
      </c>
      <c r="CX114" s="179">
        <f t="shared" si="84"/>
        <v>0</v>
      </c>
    </row>
    <row r="115" spans="1:102" ht="20" customHeight="1">
      <c r="A115" s="170"/>
      <c r="B115" s="97"/>
      <c r="C115" s="179"/>
      <c r="D115" s="179"/>
      <c r="E115" s="179"/>
      <c r="F115" s="180"/>
      <c r="G115" s="180"/>
      <c r="H115" s="180"/>
      <c r="I115" s="180"/>
      <c r="J115" s="180"/>
      <c r="K115" s="180"/>
      <c r="L115" s="180"/>
      <c r="M115" s="180"/>
      <c r="N115" s="180"/>
      <c r="O115" s="180"/>
      <c r="P115" s="180"/>
      <c r="Q115" s="180"/>
      <c r="R115" s="180"/>
      <c r="S115" s="180"/>
      <c r="T115" s="180"/>
      <c r="U115" s="180"/>
      <c r="V115" s="180"/>
      <c r="W115" s="180"/>
      <c r="X115" s="179"/>
      <c r="Y115" s="179"/>
      <c r="Z115" s="179"/>
      <c r="AA115" s="179"/>
      <c r="AB115" s="179"/>
      <c r="AC115" s="179"/>
      <c r="AD115" s="179"/>
      <c r="AE115" s="179"/>
      <c r="AF115" s="179"/>
      <c r="AG115" s="179"/>
      <c r="AH115" s="179"/>
      <c r="AI115" s="179"/>
      <c r="AJ115" s="179"/>
      <c r="AK115" s="179"/>
      <c r="AL115" s="179"/>
      <c r="AM115" s="179"/>
      <c r="AN115" s="179"/>
      <c r="AO115" s="179"/>
      <c r="AP115" s="179"/>
      <c r="AQ115" s="179"/>
      <c r="AR115" s="179"/>
      <c r="AS115" s="179"/>
      <c r="AT115" s="179"/>
      <c r="AU115" s="179"/>
      <c r="AV115" s="179"/>
      <c r="AW115" s="179"/>
      <c r="AX115" s="179"/>
      <c r="AY115" s="179"/>
      <c r="AZ115" s="179"/>
      <c r="BA115" s="179"/>
      <c r="BB115" s="179"/>
      <c r="BC115" s="179"/>
      <c r="BD115" s="179"/>
      <c r="BE115" s="179"/>
      <c r="BF115" s="179"/>
      <c r="BG115" s="179"/>
      <c r="BH115" s="179"/>
      <c r="BI115" s="179"/>
      <c r="BJ115" s="179"/>
      <c r="BK115" s="179"/>
      <c r="BL115" s="179"/>
      <c r="BM115" s="179"/>
      <c r="BN115" s="179"/>
      <c r="BO115" s="179"/>
      <c r="BP115" s="179"/>
      <c r="BQ115" s="179"/>
      <c r="BR115" s="179"/>
      <c r="BS115" s="179"/>
      <c r="BT115" s="179"/>
      <c r="BU115" s="179"/>
      <c r="BV115" s="179"/>
      <c r="BW115" s="179"/>
      <c r="BX115" s="179"/>
      <c r="BY115" s="179"/>
      <c r="BZ115" s="179"/>
      <c r="CA115" s="179"/>
      <c r="CB115" s="179"/>
      <c r="CC115" s="179"/>
      <c r="CD115" s="179"/>
      <c r="CE115" s="179"/>
      <c r="CF115" s="179"/>
      <c r="CG115" s="179"/>
      <c r="CH115" s="179"/>
      <c r="CI115" s="179"/>
      <c r="CJ115" s="179"/>
      <c r="CK115" s="179"/>
      <c r="CL115" s="179"/>
      <c r="CM115" s="179"/>
      <c r="CN115" s="179"/>
      <c r="CO115" s="179"/>
      <c r="CP115" s="179"/>
      <c r="CQ115" s="179"/>
      <c r="CR115" s="179"/>
      <c r="CS115" s="179"/>
      <c r="CT115" s="179"/>
      <c r="CU115" s="179"/>
      <c r="CV115" s="179"/>
      <c r="CW115" s="179"/>
      <c r="CX115" s="179"/>
    </row>
    <row r="116" spans="1:102" ht="20" customHeight="1">
      <c r="A116" s="170"/>
      <c r="B116" s="91" t="s">
        <v>153</v>
      </c>
      <c r="C116" s="179"/>
      <c r="D116" s="179"/>
      <c r="E116" s="179"/>
      <c r="F116" s="180"/>
      <c r="G116" s="180"/>
      <c r="H116" s="180"/>
      <c r="I116" s="180"/>
      <c r="J116" s="180"/>
      <c r="K116" s="180"/>
      <c r="L116" s="180"/>
      <c r="M116" s="180"/>
      <c r="N116" s="180"/>
      <c r="O116" s="180"/>
      <c r="P116" s="180"/>
      <c r="Q116" s="180"/>
      <c r="R116" s="180"/>
      <c r="S116" s="180"/>
      <c r="T116" s="180"/>
      <c r="U116" s="180"/>
      <c r="V116" s="180"/>
      <c r="W116" s="180"/>
      <c r="X116" s="179"/>
      <c r="Y116" s="179"/>
      <c r="Z116" s="179"/>
      <c r="AA116" s="179"/>
      <c r="AB116" s="179"/>
      <c r="AC116" s="179"/>
      <c r="AD116" s="179"/>
      <c r="AE116" s="179"/>
      <c r="AF116" s="179"/>
      <c r="AG116" s="179"/>
      <c r="AH116" s="179"/>
      <c r="AI116" s="179"/>
      <c r="AJ116" s="179"/>
      <c r="AK116" s="179"/>
      <c r="AL116" s="179"/>
      <c r="AM116" s="179"/>
      <c r="AN116" s="179"/>
      <c r="AO116" s="179"/>
      <c r="AP116" s="179"/>
      <c r="AQ116" s="179"/>
      <c r="AR116" s="179"/>
      <c r="AS116" s="179"/>
      <c r="AT116" s="179"/>
      <c r="AU116" s="179"/>
      <c r="AV116" s="179"/>
      <c r="AW116" s="179"/>
      <c r="AX116" s="179"/>
      <c r="AY116" s="179"/>
      <c r="AZ116" s="179"/>
      <c r="BA116" s="179"/>
      <c r="BB116" s="179"/>
      <c r="BC116" s="179"/>
      <c r="BD116" s="179"/>
      <c r="BE116" s="179"/>
      <c r="BF116" s="179"/>
      <c r="BG116" s="179"/>
      <c r="BH116" s="179"/>
      <c r="BI116" s="179"/>
      <c r="BJ116" s="179"/>
      <c r="BK116" s="179"/>
      <c r="BL116" s="179"/>
      <c r="BM116" s="179"/>
      <c r="BN116" s="179"/>
      <c r="BO116" s="179"/>
      <c r="BP116" s="179"/>
      <c r="BQ116" s="179"/>
      <c r="BR116" s="179"/>
      <c r="BS116" s="179"/>
      <c r="BT116" s="179"/>
      <c r="BU116" s="179"/>
      <c r="BV116" s="179"/>
      <c r="BW116" s="179"/>
      <c r="BX116" s="179"/>
      <c r="BY116" s="179"/>
      <c r="BZ116" s="179"/>
      <c r="CA116" s="179"/>
      <c r="CB116" s="179"/>
      <c r="CC116" s="179"/>
      <c r="CD116" s="179"/>
      <c r="CE116" s="179"/>
      <c r="CF116" s="179"/>
      <c r="CG116" s="179"/>
      <c r="CH116" s="179"/>
      <c r="CI116" s="179"/>
      <c r="CJ116" s="179"/>
      <c r="CK116" s="179"/>
      <c r="CL116" s="179"/>
      <c r="CM116" s="179"/>
      <c r="CN116" s="179"/>
      <c r="CO116" s="179"/>
      <c r="CP116" s="179"/>
      <c r="CQ116" s="179"/>
      <c r="CR116" s="179"/>
      <c r="CS116" s="179"/>
      <c r="CT116" s="179"/>
      <c r="CU116" s="179"/>
      <c r="CV116" s="179"/>
      <c r="CW116" s="179"/>
      <c r="CX116" s="179"/>
    </row>
    <row r="117" spans="1:102" ht="20" customHeight="1">
      <c r="A117" s="170">
        <f>SUM(C117:CX117)</f>
        <v>56838094.366741076</v>
      </c>
      <c r="B117" s="97" t="s">
        <v>154</v>
      </c>
      <c r="C117" s="179">
        <f>C109*C$80</f>
        <v>16985080.777353227</v>
      </c>
      <c r="D117" s="179">
        <f t="shared" ref="D117:BO117" si="85">D109*D$80</f>
        <v>39853013.589387849</v>
      </c>
      <c r="E117" s="179">
        <f t="shared" si="85"/>
        <v>0</v>
      </c>
      <c r="F117" s="179">
        <f t="shared" si="85"/>
        <v>0</v>
      </c>
      <c r="G117" s="179">
        <f t="shared" si="85"/>
        <v>0</v>
      </c>
      <c r="H117" s="179">
        <f t="shared" si="85"/>
        <v>0</v>
      </c>
      <c r="I117" s="179">
        <f t="shared" si="85"/>
        <v>0</v>
      </c>
      <c r="J117" s="179">
        <f t="shared" si="85"/>
        <v>0</v>
      </c>
      <c r="K117" s="179">
        <f t="shared" si="85"/>
        <v>0</v>
      </c>
      <c r="L117" s="179">
        <f t="shared" si="85"/>
        <v>0</v>
      </c>
      <c r="M117" s="179">
        <f t="shared" si="85"/>
        <v>0</v>
      </c>
      <c r="N117" s="179">
        <f t="shared" si="85"/>
        <v>0</v>
      </c>
      <c r="O117" s="179">
        <f t="shared" si="85"/>
        <v>0</v>
      </c>
      <c r="P117" s="179">
        <f t="shared" si="85"/>
        <v>0</v>
      </c>
      <c r="Q117" s="179">
        <f t="shared" si="85"/>
        <v>0</v>
      </c>
      <c r="R117" s="179">
        <f t="shared" si="85"/>
        <v>0</v>
      </c>
      <c r="S117" s="179">
        <f t="shared" si="85"/>
        <v>0</v>
      </c>
      <c r="T117" s="179">
        <f t="shared" si="85"/>
        <v>0</v>
      </c>
      <c r="U117" s="179">
        <f t="shared" si="85"/>
        <v>0</v>
      </c>
      <c r="V117" s="179">
        <f t="shared" si="85"/>
        <v>0</v>
      </c>
      <c r="W117" s="179">
        <f t="shared" si="85"/>
        <v>0</v>
      </c>
      <c r="X117" s="179">
        <f t="shared" si="85"/>
        <v>0</v>
      </c>
      <c r="Y117" s="179">
        <f t="shared" si="85"/>
        <v>0</v>
      </c>
      <c r="Z117" s="179">
        <f t="shared" si="85"/>
        <v>0</v>
      </c>
      <c r="AA117" s="179">
        <f t="shared" si="85"/>
        <v>0</v>
      </c>
      <c r="AB117" s="179">
        <f t="shared" si="85"/>
        <v>0</v>
      </c>
      <c r="AC117" s="179">
        <f t="shared" si="85"/>
        <v>0</v>
      </c>
      <c r="AD117" s="179">
        <f t="shared" si="85"/>
        <v>0</v>
      </c>
      <c r="AE117" s="179">
        <f t="shared" si="85"/>
        <v>0</v>
      </c>
      <c r="AF117" s="179">
        <f t="shared" si="85"/>
        <v>0</v>
      </c>
      <c r="AG117" s="179">
        <f t="shared" si="85"/>
        <v>0</v>
      </c>
      <c r="AH117" s="179">
        <f t="shared" si="85"/>
        <v>0</v>
      </c>
      <c r="AI117" s="179">
        <f t="shared" si="85"/>
        <v>0</v>
      </c>
      <c r="AJ117" s="179">
        <f t="shared" si="85"/>
        <v>0</v>
      </c>
      <c r="AK117" s="179">
        <f t="shared" si="85"/>
        <v>0</v>
      </c>
      <c r="AL117" s="179">
        <f t="shared" si="85"/>
        <v>0</v>
      </c>
      <c r="AM117" s="179">
        <f t="shared" si="85"/>
        <v>0</v>
      </c>
      <c r="AN117" s="179">
        <f t="shared" si="85"/>
        <v>0</v>
      </c>
      <c r="AO117" s="179">
        <f t="shared" si="85"/>
        <v>0</v>
      </c>
      <c r="AP117" s="179">
        <f t="shared" si="85"/>
        <v>0</v>
      </c>
      <c r="AQ117" s="179">
        <f t="shared" si="85"/>
        <v>0</v>
      </c>
      <c r="AR117" s="179">
        <f t="shared" si="85"/>
        <v>0</v>
      </c>
      <c r="AS117" s="179">
        <f t="shared" si="85"/>
        <v>0</v>
      </c>
      <c r="AT117" s="179">
        <f t="shared" si="85"/>
        <v>0</v>
      </c>
      <c r="AU117" s="179">
        <f t="shared" si="85"/>
        <v>0</v>
      </c>
      <c r="AV117" s="179">
        <f t="shared" si="85"/>
        <v>0</v>
      </c>
      <c r="AW117" s="179">
        <f t="shared" si="85"/>
        <v>0</v>
      </c>
      <c r="AX117" s="179">
        <f t="shared" si="85"/>
        <v>0</v>
      </c>
      <c r="AY117" s="179">
        <f t="shared" si="85"/>
        <v>0</v>
      </c>
      <c r="AZ117" s="179">
        <f t="shared" si="85"/>
        <v>0</v>
      </c>
      <c r="BA117" s="179">
        <f t="shared" si="85"/>
        <v>0</v>
      </c>
      <c r="BB117" s="179">
        <f t="shared" si="85"/>
        <v>0</v>
      </c>
      <c r="BC117" s="179">
        <f t="shared" si="85"/>
        <v>0</v>
      </c>
      <c r="BD117" s="179">
        <f t="shared" si="85"/>
        <v>0</v>
      </c>
      <c r="BE117" s="179">
        <f t="shared" si="85"/>
        <v>0</v>
      </c>
      <c r="BF117" s="179">
        <f t="shared" si="85"/>
        <v>0</v>
      </c>
      <c r="BG117" s="179">
        <f t="shared" si="85"/>
        <v>0</v>
      </c>
      <c r="BH117" s="179">
        <f t="shared" si="85"/>
        <v>0</v>
      </c>
      <c r="BI117" s="179">
        <f t="shared" si="85"/>
        <v>0</v>
      </c>
      <c r="BJ117" s="179">
        <f t="shared" si="85"/>
        <v>0</v>
      </c>
      <c r="BK117" s="179">
        <f t="shared" si="85"/>
        <v>0</v>
      </c>
      <c r="BL117" s="179">
        <f t="shared" si="85"/>
        <v>0</v>
      </c>
      <c r="BM117" s="179">
        <f t="shared" si="85"/>
        <v>0</v>
      </c>
      <c r="BN117" s="179">
        <f t="shared" si="85"/>
        <v>0</v>
      </c>
      <c r="BO117" s="179">
        <f t="shared" si="85"/>
        <v>0</v>
      </c>
      <c r="BP117" s="179">
        <f t="shared" ref="BP117:CX117" si="86">BP109*BP$80</f>
        <v>0</v>
      </c>
      <c r="BQ117" s="179">
        <f t="shared" si="86"/>
        <v>0</v>
      </c>
      <c r="BR117" s="179">
        <f t="shared" si="86"/>
        <v>0</v>
      </c>
      <c r="BS117" s="179">
        <f t="shared" si="86"/>
        <v>0</v>
      </c>
      <c r="BT117" s="179">
        <f t="shared" si="86"/>
        <v>0</v>
      </c>
      <c r="BU117" s="179">
        <f t="shared" si="86"/>
        <v>0</v>
      </c>
      <c r="BV117" s="179">
        <f t="shared" si="86"/>
        <v>0</v>
      </c>
      <c r="BW117" s="179">
        <f t="shared" si="86"/>
        <v>0</v>
      </c>
      <c r="BX117" s="179">
        <f t="shared" si="86"/>
        <v>0</v>
      </c>
      <c r="BY117" s="179">
        <f t="shared" si="86"/>
        <v>0</v>
      </c>
      <c r="BZ117" s="179">
        <f t="shared" si="86"/>
        <v>0</v>
      </c>
      <c r="CA117" s="179">
        <f t="shared" si="86"/>
        <v>0</v>
      </c>
      <c r="CB117" s="179">
        <f t="shared" si="86"/>
        <v>0</v>
      </c>
      <c r="CC117" s="179">
        <f t="shared" si="86"/>
        <v>0</v>
      </c>
      <c r="CD117" s="179">
        <f t="shared" si="86"/>
        <v>0</v>
      </c>
      <c r="CE117" s="179">
        <f t="shared" si="86"/>
        <v>0</v>
      </c>
      <c r="CF117" s="179">
        <f t="shared" si="86"/>
        <v>0</v>
      </c>
      <c r="CG117" s="179">
        <f t="shared" si="86"/>
        <v>0</v>
      </c>
      <c r="CH117" s="179">
        <f t="shared" si="86"/>
        <v>0</v>
      </c>
      <c r="CI117" s="179">
        <f t="shared" si="86"/>
        <v>0</v>
      </c>
      <c r="CJ117" s="179">
        <f t="shared" si="86"/>
        <v>0</v>
      </c>
      <c r="CK117" s="179">
        <f t="shared" si="86"/>
        <v>0</v>
      </c>
      <c r="CL117" s="179">
        <f t="shared" si="86"/>
        <v>0</v>
      </c>
      <c r="CM117" s="179">
        <f t="shared" si="86"/>
        <v>0</v>
      </c>
      <c r="CN117" s="179">
        <f t="shared" si="86"/>
        <v>0</v>
      </c>
      <c r="CO117" s="179">
        <f t="shared" si="86"/>
        <v>0</v>
      </c>
      <c r="CP117" s="179">
        <f t="shared" si="86"/>
        <v>0</v>
      </c>
      <c r="CQ117" s="179">
        <f t="shared" si="86"/>
        <v>0</v>
      </c>
      <c r="CR117" s="179">
        <f t="shared" si="86"/>
        <v>0</v>
      </c>
      <c r="CS117" s="179">
        <f t="shared" si="86"/>
        <v>0</v>
      </c>
      <c r="CT117" s="179">
        <f t="shared" si="86"/>
        <v>0</v>
      </c>
      <c r="CU117" s="179">
        <f t="shared" si="86"/>
        <v>0</v>
      </c>
      <c r="CV117" s="179">
        <f t="shared" si="86"/>
        <v>0</v>
      </c>
      <c r="CW117" s="179">
        <f t="shared" si="86"/>
        <v>0</v>
      </c>
      <c r="CX117" s="179">
        <f t="shared" si="86"/>
        <v>0</v>
      </c>
    </row>
    <row r="118" spans="1:102" ht="20" customHeight="1">
      <c r="A118" s="170">
        <f>SUM(C118:CX118)</f>
        <v>927291438.26426482</v>
      </c>
      <c r="B118" s="97" t="s">
        <v>155</v>
      </c>
      <c r="C118" s="179">
        <f>C110*C$80</f>
        <v>0</v>
      </c>
      <c r="D118" s="179">
        <f>D110*D$80</f>
        <v>0</v>
      </c>
      <c r="E118" s="179">
        <f t="shared" ref="E118:BO118" si="87">E110*E$80</f>
        <v>11138369.498912757</v>
      </c>
      <c r="F118" s="179">
        <f t="shared" si="87"/>
        <v>11854949.215435512</v>
      </c>
      <c r="G118" s="179">
        <f t="shared" si="87"/>
        <v>12617629.619332833</v>
      </c>
      <c r="H118" s="179">
        <f t="shared" si="87"/>
        <v>13429376.568174239</v>
      </c>
      <c r="I118" s="179">
        <f t="shared" si="87"/>
        <v>14293346.726036116</v>
      </c>
      <c r="J118" s="179">
        <f t="shared" si="87"/>
        <v>15212899.838913562</v>
      </c>
      <c r="K118" s="179">
        <f t="shared" si="87"/>
        <v>16191611.799862765</v>
      </c>
      <c r="L118" s="179">
        <f t="shared" si="87"/>
        <v>17233288.554680843</v>
      </c>
      <c r="M118" s="179">
        <f t="shared" si="87"/>
        <v>18341980.902198441</v>
      </c>
      <c r="N118" s="179">
        <f t="shared" si="87"/>
        <v>19522000.246739496</v>
      </c>
      <c r="O118" s="179">
        <f t="shared" si="87"/>
        <v>20777935.364005193</v>
      </c>
      <c r="P118" s="179">
        <f t="shared" si="87"/>
        <v>22114670.245580122</v>
      </c>
      <c r="Q118" s="179">
        <f t="shared" si="87"/>
        <v>23537403.091453012</v>
      </c>
      <c r="R118" s="179">
        <f t="shared" si="87"/>
        <v>25051666.524408937</v>
      </c>
      <c r="S118" s="179">
        <f t="shared" si="87"/>
        <v>26663349.104901146</v>
      </c>
      <c r="T118" s="179">
        <f t="shared" si="87"/>
        <v>28378718.230068188</v>
      </c>
      <c r="U118" s="179">
        <f t="shared" si="87"/>
        <v>30204444.505944237</v>
      </c>
      <c r="V118" s="179">
        <f t="shared" si="87"/>
        <v>32147627.68763968</v>
      </c>
      <c r="W118" s="179">
        <f t="shared" si="87"/>
        <v>34215824.288366243</v>
      </c>
      <c r="X118" s="179">
        <f t="shared" si="87"/>
        <v>36417076.96467071</v>
      </c>
      <c r="Y118" s="179">
        <f t="shared" si="87"/>
        <v>38759945.792148404</v>
      </c>
      <c r="Z118" s="179">
        <f t="shared" si="87"/>
        <v>41253541.553259239</v>
      </c>
      <c r="AA118" s="179">
        <f t="shared" si="87"/>
        <v>43907561.166693643</v>
      </c>
      <c r="AB118" s="179">
        <f t="shared" si="87"/>
        <v>46732325.396063656</v>
      </c>
      <c r="AC118" s="179">
        <f t="shared" si="87"/>
        <v>49738818.984557837</v>
      </c>
      <c r="AD118" s="179">
        <f t="shared" si="87"/>
        <v>52938733.371633083</v>
      </c>
      <c r="AE118" s="179">
        <f t="shared" si="87"/>
        <v>56344512.157856792</v>
      </c>
      <c r="AF118" s="179">
        <f t="shared" si="87"/>
        <v>59969399.494700029</v>
      </c>
      <c r="AG118" s="179">
        <f t="shared" si="87"/>
        <v>63827491.587456197</v>
      </c>
      <c r="AH118" s="179">
        <f t="shared" si="87"/>
        <v>44474939.782571726</v>
      </c>
      <c r="AI118" s="179">
        <f t="shared" si="87"/>
        <v>0</v>
      </c>
      <c r="AJ118" s="179">
        <f t="shared" si="87"/>
        <v>0</v>
      </c>
      <c r="AK118" s="179">
        <f t="shared" si="87"/>
        <v>0</v>
      </c>
      <c r="AL118" s="179">
        <f t="shared" si="87"/>
        <v>0</v>
      </c>
      <c r="AM118" s="179">
        <f t="shared" si="87"/>
        <v>0</v>
      </c>
      <c r="AN118" s="179">
        <f t="shared" si="87"/>
        <v>0</v>
      </c>
      <c r="AO118" s="179">
        <f t="shared" si="87"/>
        <v>0</v>
      </c>
      <c r="AP118" s="179">
        <f t="shared" si="87"/>
        <v>0</v>
      </c>
      <c r="AQ118" s="179">
        <f t="shared" si="87"/>
        <v>0</v>
      </c>
      <c r="AR118" s="179">
        <f t="shared" si="87"/>
        <v>0</v>
      </c>
      <c r="AS118" s="179">
        <f t="shared" si="87"/>
        <v>0</v>
      </c>
      <c r="AT118" s="179">
        <f t="shared" si="87"/>
        <v>0</v>
      </c>
      <c r="AU118" s="179">
        <f t="shared" si="87"/>
        <v>0</v>
      </c>
      <c r="AV118" s="179">
        <f t="shared" si="87"/>
        <v>0</v>
      </c>
      <c r="AW118" s="179">
        <f t="shared" si="87"/>
        <v>0</v>
      </c>
      <c r="AX118" s="179">
        <f t="shared" si="87"/>
        <v>0</v>
      </c>
      <c r="AY118" s="179">
        <f t="shared" si="87"/>
        <v>0</v>
      </c>
      <c r="AZ118" s="179">
        <f t="shared" si="87"/>
        <v>0</v>
      </c>
      <c r="BA118" s="179">
        <f t="shared" si="87"/>
        <v>0</v>
      </c>
      <c r="BB118" s="179">
        <f t="shared" si="87"/>
        <v>0</v>
      </c>
      <c r="BC118" s="179">
        <f t="shared" si="87"/>
        <v>0</v>
      </c>
      <c r="BD118" s="179">
        <f t="shared" si="87"/>
        <v>0</v>
      </c>
      <c r="BE118" s="179">
        <f t="shared" si="87"/>
        <v>0</v>
      </c>
      <c r="BF118" s="179">
        <f t="shared" si="87"/>
        <v>0</v>
      </c>
      <c r="BG118" s="179">
        <f t="shared" si="87"/>
        <v>0</v>
      </c>
      <c r="BH118" s="179">
        <f t="shared" si="87"/>
        <v>0</v>
      </c>
      <c r="BI118" s="179">
        <f t="shared" si="87"/>
        <v>0</v>
      </c>
      <c r="BJ118" s="179">
        <f t="shared" si="87"/>
        <v>0</v>
      </c>
      <c r="BK118" s="179">
        <f t="shared" si="87"/>
        <v>0</v>
      </c>
      <c r="BL118" s="179">
        <f t="shared" si="87"/>
        <v>0</v>
      </c>
      <c r="BM118" s="179">
        <f t="shared" si="87"/>
        <v>0</v>
      </c>
      <c r="BN118" s="179">
        <f t="shared" si="87"/>
        <v>0</v>
      </c>
      <c r="BO118" s="179">
        <f t="shared" si="87"/>
        <v>0</v>
      </c>
      <c r="BP118" s="179">
        <f t="shared" ref="BP118:CX118" si="88">BP110*BP$80</f>
        <v>0</v>
      </c>
      <c r="BQ118" s="179">
        <f t="shared" si="88"/>
        <v>0</v>
      </c>
      <c r="BR118" s="179">
        <f t="shared" si="88"/>
        <v>0</v>
      </c>
      <c r="BS118" s="179">
        <f t="shared" si="88"/>
        <v>0</v>
      </c>
      <c r="BT118" s="179">
        <f t="shared" si="88"/>
        <v>0</v>
      </c>
      <c r="BU118" s="179">
        <f t="shared" si="88"/>
        <v>0</v>
      </c>
      <c r="BV118" s="179">
        <f t="shared" si="88"/>
        <v>0</v>
      </c>
      <c r="BW118" s="179">
        <f t="shared" si="88"/>
        <v>0</v>
      </c>
      <c r="BX118" s="179">
        <f t="shared" si="88"/>
        <v>0</v>
      </c>
      <c r="BY118" s="179">
        <f t="shared" si="88"/>
        <v>0</v>
      </c>
      <c r="BZ118" s="179">
        <f t="shared" si="88"/>
        <v>0</v>
      </c>
      <c r="CA118" s="179">
        <f t="shared" si="88"/>
        <v>0</v>
      </c>
      <c r="CB118" s="179">
        <f t="shared" si="88"/>
        <v>0</v>
      </c>
      <c r="CC118" s="179">
        <f t="shared" si="88"/>
        <v>0</v>
      </c>
      <c r="CD118" s="179">
        <f t="shared" si="88"/>
        <v>0</v>
      </c>
      <c r="CE118" s="179">
        <f t="shared" si="88"/>
        <v>0</v>
      </c>
      <c r="CF118" s="179">
        <f t="shared" si="88"/>
        <v>0</v>
      </c>
      <c r="CG118" s="179">
        <f t="shared" si="88"/>
        <v>0</v>
      </c>
      <c r="CH118" s="179">
        <f t="shared" si="88"/>
        <v>0</v>
      </c>
      <c r="CI118" s="179">
        <f t="shared" si="88"/>
        <v>0</v>
      </c>
      <c r="CJ118" s="179">
        <f t="shared" si="88"/>
        <v>0</v>
      </c>
      <c r="CK118" s="179">
        <f t="shared" si="88"/>
        <v>0</v>
      </c>
      <c r="CL118" s="179">
        <f t="shared" si="88"/>
        <v>0</v>
      </c>
      <c r="CM118" s="179">
        <f t="shared" si="88"/>
        <v>0</v>
      </c>
      <c r="CN118" s="179">
        <f t="shared" si="88"/>
        <v>0</v>
      </c>
      <c r="CO118" s="179">
        <f t="shared" si="88"/>
        <v>0</v>
      </c>
      <c r="CP118" s="179">
        <f t="shared" si="88"/>
        <v>0</v>
      </c>
      <c r="CQ118" s="179">
        <f t="shared" si="88"/>
        <v>0</v>
      </c>
      <c r="CR118" s="179">
        <f t="shared" si="88"/>
        <v>0</v>
      </c>
      <c r="CS118" s="179">
        <f t="shared" si="88"/>
        <v>0</v>
      </c>
      <c r="CT118" s="179">
        <f t="shared" si="88"/>
        <v>0</v>
      </c>
      <c r="CU118" s="179">
        <f t="shared" si="88"/>
        <v>0</v>
      </c>
      <c r="CV118" s="179">
        <f t="shared" si="88"/>
        <v>0</v>
      </c>
      <c r="CW118" s="179">
        <f t="shared" si="88"/>
        <v>0</v>
      </c>
      <c r="CX118" s="179">
        <f t="shared" si="88"/>
        <v>0</v>
      </c>
    </row>
    <row r="119" spans="1:102" ht="20" customHeight="1">
      <c r="A119" s="170"/>
      <c r="B119" s="97"/>
      <c r="C119" s="179"/>
      <c r="D119" s="179"/>
      <c r="E119" s="179"/>
      <c r="F119" s="180"/>
      <c r="G119" s="180"/>
      <c r="H119" s="180"/>
      <c r="I119" s="180"/>
      <c r="J119" s="180"/>
      <c r="K119" s="180"/>
      <c r="L119" s="180"/>
      <c r="M119" s="180"/>
      <c r="N119" s="180"/>
      <c r="O119" s="180"/>
      <c r="P119" s="180"/>
      <c r="Q119" s="180"/>
      <c r="R119" s="180"/>
      <c r="S119" s="180"/>
      <c r="T119" s="180"/>
      <c r="U119" s="180"/>
      <c r="V119" s="180"/>
      <c r="W119" s="180"/>
      <c r="X119" s="179"/>
      <c r="Y119" s="179"/>
      <c r="Z119" s="179"/>
      <c r="AA119" s="179"/>
      <c r="AB119" s="179"/>
      <c r="AC119" s="179"/>
      <c r="AD119" s="179"/>
      <c r="AE119" s="179"/>
      <c r="AF119" s="179"/>
      <c r="AG119" s="179"/>
      <c r="AH119" s="179"/>
      <c r="AI119" s="179"/>
      <c r="AJ119" s="179"/>
      <c r="AK119" s="179"/>
      <c r="AL119" s="179"/>
      <c r="AM119" s="179"/>
      <c r="AN119" s="179"/>
      <c r="AO119" s="179"/>
      <c r="AP119" s="179"/>
      <c r="AQ119" s="179"/>
      <c r="AR119" s="179"/>
      <c r="AS119" s="179"/>
      <c r="AT119" s="179"/>
      <c r="AU119" s="179"/>
      <c r="AV119" s="179"/>
      <c r="AW119" s="179"/>
      <c r="AX119" s="179"/>
      <c r="AY119" s="179"/>
      <c r="AZ119" s="179"/>
      <c r="BA119" s="179"/>
      <c r="BB119" s="179"/>
      <c r="BC119" s="179"/>
      <c r="BD119" s="179"/>
      <c r="BE119" s="179"/>
      <c r="BF119" s="179"/>
      <c r="BG119" s="179"/>
      <c r="BH119" s="179"/>
      <c r="BI119" s="179"/>
      <c r="BJ119" s="179"/>
      <c r="BK119" s="179"/>
      <c r="BL119" s="179"/>
      <c r="BM119" s="179"/>
      <c r="BN119" s="179"/>
      <c r="BO119" s="179"/>
      <c r="BP119" s="179"/>
      <c r="BQ119" s="179"/>
      <c r="BR119" s="179"/>
      <c r="BS119" s="179"/>
      <c r="BT119" s="179"/>
      <c r="BU119" s="179"/>
      <c r="BV119" s="179"/>
      <c r="BW119" s="179"/>
      <c r="BX119" s="179"/>
      <c r="BY119" s="179"/>
      <c r="BZ119" s="179"/>
      <c r="CA119" s="179"/>
      <c r="CB119" s="179"/>
      <c r="CC119" s="179"/>
      <c r="CD119" s="179"/>
      <c r="CE119" s="179"/>
      <c r="CF119" s="179"/>
      <c r="CG119" s="179"/>
      <c r="CH119" s="179"/>
      <c r="CI119" s="179"/>
      <c r="CJ119" s="179"/>
      <c r="CK119" s="179"/>
      <c r="CL119" s="179"/>
      <c r="CM119" s="179"/>
      <c r="CN119" s="179"/>
      <c r="CO119" s="179"/>
      <c r="CP119" s="179"/>
      <c r="CQ119" s="179"/>
      <c r="CR119" s="179"/>
      <c r="CS119" s="179"/>
      <c r="CT119" s="179"/>
      <c r="CU119" s="179"/>
      <c r="CV119" s="179"/>
      <c r="CW119" s="179"/>
      <c r="CX119" s="179"/>
    </row>
    <row r="120" spans="1:102" ht="20" customHeight="1">
      <c r="A120" s="109"/>
      <c r="B120" s="91" t="s">
        <v>156</v>
      </c>
      <c r="C120" s="109"/>
      <c r="D120" s="109"/>
      <c r="E120" s="109"/>
      <c r="F120" s="103"/>
      <c r="G120" s="103"/>
      <c r="H120" s="103"/>
      <c r="I120" s="103"/>
      <c r="J120" s="103"/>
      <c r="K120" s="103"/>
      <c r="L120" s="103"/>
      <c r="M120" s="103"/>
      <c r="N120" s="103"/>
      <c r="O120" s="103"/>
      <c r="P120" s="103"/>
      <c r="Q120" s="103"/>
      <c r="R120" s="103"/>
      <c r="S120" s="103"/>
      <c r="T120" s="103"/>
      <c r="U120" s="103"/>
      <c r="V120" s="103"/>
      <c r="W120" s="103"/>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c r="BA120" s="109"/>
      <c r="BB120" s="109"/>
      <c r="BC120" s="109"/>
      <c r="BD120" s="109"/>
      <c r="BE120" s="109"/>
      <c r="BF120" s="109"/>
      <c r="BG120" s="109"/>
      <c r="BH120" s="109"/>
      <c r="BI120" s="109"/>
      <c r="BJ120" s="109"/>
      <c r="BK120" s="109"/>
      <c r="BL120" s="109"/>
      <c r="BM120" s="109"/>
      <c r="BN120" s="109"/>
      <c r="BO120" s="109"/>
      <c r="BP120" s="109"/>
      <c r="BQ120" s="109"/>
      <c r="BR120" s="109"/>
      <c r="BS120" s="109"/>
      <c r="BT120" s="109"/>
      <c r="BU120" s="109"/>
      <c r="BV120" s="109"/>
      <c r="BW120" s="109"/>
      <c r="BX120" s="109"/>
      <c r="BY120" s="109"/>
      <c r="BZ120" s="109"/>
      <c r="CA120" s="109"/>
      <c r="CB120" s="109"/>
      <c r="CC120" s="109"/>
      <c r="CD120" s="109"/>
      <c r="CE120" s="109"/>
      <c r="CF120" s="109"/>
      <c r="CG120" s="109"/>
      <c r="CH120" s="109"/>
      <c r="CI120" s="109"/>
      <c r="CJ120" s="109"/>
      <c r="CK120" s="109"/>
      <c r="CL120" s="109"/>
      <c r="CM120" s="109"/>
      <c r="CN120" s="109"/>
      <c r="CO120" s="109"/>
      <c r="CP120" s="109"/>
      <c r="CQ120" s="109"/>
      <c r="CR120" s="109"/>
      <c r="CS120" s="109"/>
      <c r="CT120" s="109"/>
      <c r="CU120" s="109"/>
      <c r="CV120" s="109"/>
      <c r="CW120" s="109"/>
      <c r="CX120" s="109"/>
    </row>
    <row r="121" spans="1:102" ht="20" customHeight="1">
      <c r="A121" s="170">
        <f t="shared" ref="A121:A124" si="89">SUM(C121:CX121)</f>
        <v>55290368.075051546</v>
      </c>
      <c r="B121" s="97" t="s">
        <v>286</v>
      </c>
      <c r="C121" s="109">
        <f>C113</f>
        <v>16985080.777353227</v>
      </c>
      <c r="D121" s="109">
        <f t="shared" ref="D121:BO121" si="90">D113</f>
        <v>38305287.297698319</v>
      </c>
      <c r="E121" s="109">
        <f t="shared" si="90"/>
        <v>0</v>
      </c>
      <c r="F121" s="109">
        <f t="shared" si="90"/>
        <v>0</v>
      </c>
      <c r="G121" s="109">
        <f t="shared" si="90"/>
        <v>0</v>
      </c>
      <c r="H121" s="109">
        <f t="shared" si="90"/>
        <v>0</v>
      </c>
      <c r="I121" s="109">
        <f t="shared" si="90"/>
        <v>0</v>
      </c>
      <c r="J121" s="109">
        <f t="shared" si="90"/>
        <v>0</v>
      </c>
      <c r="K121" s="109">
        <f t="shared" si="90"/>
        <v>0</v>
      </c>
      <c r="L121" s="109">
        <f t="shared" si="90"/>
        <v>0</v>
      </c>
      <c r="M121" s="109">
        <f t="shared" si="90"/>
        <v>0</v>
      </c>
      <c r="N121" s="109">
        <f t="shared" si="90"/>
        <v>0</v>
      </c>
      <c r="O121" s="109">
        <f t="shared" si="90"/>
        <v>0</v>
      </c>
      <c r="P121" s="109">
        <f t="shared" si="90"/>
        <v>0</v>
      </c>
      <c r="Q121" s="109">
        <f t="shared" si="90"/>
        <v>0</v>
      </c>
      <c r="R121" s="109">
        <f t="shared" si="90"/>
        <v>0</v>
      </c>
      <c r="S121" s="109">
        <f t="shared" si="90"/>
        <v>0</v>
      </c>
      <c r="T121" s="109">
        <f t="shared" si="90"/>
        <v>0</v>
      </c>
      <c r="U121" s="109">
        <f t="shared" si="90"/>
        <v>0</v>
      </c>
      <c r="V121" s="109">
        <f t="shared" si="90"/>
        <v>0</v>
      </c>
      <c r="W121" s="109">
        <f t="shared" si="90"/>
        <v>0</v>
      </c>
      <c r="X121" s="109">
        <f t="shared" si="90"/>
        <v>0</v>
      </c>
      <c r="Y121" s="109">
        <f t="shared" si="90"/>
        <v>0</v>
      </c>
      <c r="Z121" s="109">
        <f t="shared" si="90"/>
        <v>0</v>
      </c>
      <c r="AA121" s="109">
        <f t="shared" si="90"/>
        <v>0</v>
      </c>
      <c r="AB121" s="109">
        <f t="shared" si="90"/>
        <v>0</v>
      </c>
      <c r="AC121" s="109">
        <f t="shared" si="90"/>
        <v>0</v>
      </c>
      <c r="AD121" s="109">
        <f t="shared" si="90"/>
        <v>0</v>
      </c>
      <c r="AE121" s="109">
        <f t="shared" si="90"/>
        <v>0</v>
      </c>
      <c r="AF121" s="109">
        <f t="shared" si="90"/>
        <v>0</v>
      </c>
      <c r="AG121" s="109">
        <f t="shared" si="90"/>
        <v>0</v>
      </c>
      <c r="AH121" s="109">
        <f t="shared" si="90"/>
        <v>0</v>
      </c>
      <c r="AI121" s="109">
        <f t="shared" si="90"/>
        <v>0</v>
      </c>
      <c r="AJ121" s="109">
        <f t="shared" si="90"/>
        <v>0</v>
      </c>
      <c r="AK121" s="109">
        <f t="shared" si="90"/>
        <v>0</v>
      </c>
      <c r="AL121" s="109">
        <f t="shared" si="90"/>
        <v>0</v>
      </c>
      <c r="AM121" s="109">
        <f t="shared" si="90"/>
        <v>0</v>
      </c>
      <c r="AN121" s="109">
        <f t="shared" si="90"/>
        <v>0</v>
      </c>
      <c r="AO121" s="109">
        <f t="shared" si="90"/>
        <v>0</v>
      </c>
      <c r="AP121" s="109">
        <f t="shared" si="90"/>
        <v>0</v>
      </c>
      <c r="AQ121" s="109">
        <f t="shared" si="90"/>
        <v>0</v>
      </c>
      <c r="AR121" s="109">
        <f t="shared" si="90"/>
        <v>0</v>
      </c>
      <c r="AS121" s="109">
        <f t="shared" si="90"/>
        <v>0</v>
      </c>
      <c r="AT121" s="109">
        <f t="shared" si="90"/>
        <v>0</v>
      </c>
      <c r="AU121" s="109">
        <f t="shared" si="90"/>
        <v>0</v>
      </c>
      <c r="AV121" s="109">
        <f t="shared" si="90"/>
        <v>0</v>
      </c>
      <c r="AW121" s="109">
        <f t="shared" si="90"/>
        <v>0</v>
      </c>
      <c r="AX121" s="109">
        <f t="shared" si="90"/>
        <v>0</v>
      </c>
      <c r="AY121" s="109">
        <f t="shared" si="90"/>
        <v>0</v>
      </c>
      <c r="AZ121" s="109">
        <f t="shared" si="90"/>
        <v>0</v>
      </c>
      <c r="BA121" s="109">
        <f t="shared" si="90"/>
        <v>0</v>
      </c>
      <c r="BB121" s="109">
        <f t="shared" si="90"/>
        <v>0</v>
      </c>
      <c r="BC121" s="109">
        <f t="shared" si="90"/>
        <v>0</v>
      </c>
      <c r="BD121" s="109">
        <f t="shared" si="90"/>
        <v>0</v>
      </c>
      <c r="BE121" s="109">
        <f t="shared" si="90"/>
        <v>0</v>
      </c>
      <c r="BF121" s="109">
        <f t="shared" si="90"/>
        <v>0</v>
      </c>
      <c r="BG121" s="109">
        <f t="shared" si="90"/>
        <v>0</v>
      </c>
      <c r="BH121" s="109">
        <f t="shared" si="90"/>
        <v>0</v>
      </c>
      <c r="BI121" s="109">
        <f t="shared" si="90"/>
        <v>0</v>
      </c>
      <c r="BJ121" s="109">
        <f t="shared" si="90"/>
        <v>0</v>
      </c>
      <c r="BK121" s="109">
        <f t="shared" si="90"/>
        <v>0</v>
      </c>
      <c r="BL121" s="109">
        <f t="shared" si="90"/>
        <v>0</v>
      </c>
      <c r="BM121" s="109">
        <f t="shared" si="90"/>
        <v>0</v>
      </c>
      <c r="BN121" s="109">
        <f t="shared" si="90"/>
        <v>0</v>
      </c>
      <c r="BO121" s="109">
        <f t="shared" si="90"/>
        <v>0</v>
      </c>
      <c r="BP121" s="109">
        <f t="shared" ref="BP121:CX121" si="91">BP113</f>
        <v>0</v>
      </c>
      <c r="BQ121" s="109">
        <f t="shared" si="91"/>
        <v>0</v>
      </c>
      <c r="BR121" s="109">
        <f t="shared" si="91"/>
        <v>0</v>
      </c>
      <c r="BS121" s="109">
        <f t="shared" si="91"/>
        <v>0</v>
      </c>
      <c r="BT121" s="109">
        <f t="shared" si="91"/>
        <v>0</v>
      </c>
      <c r="BU121" s="109">
        <f t="shared" si="91"/>
        <v>0</v>
      </c>
      <c r="BV121" s="109">
        <f t="shared" si="91"/>
        <v>0</v>
      </c>
      <c r="BW121" s="109">
        <f t="shared" si="91"/>
        <v>0</v>
      </c>
      <c r="BX121" s="109">
        <f t="shared" si="91"/>
        <v>0</v>
      </c>
      <c r="BY121" s="109">
        <f t="shared" si="91"/>
        <v>0</v>
      </c>
      <c r="BZ121" s="109">
        <f t="shared" si="91"/>
        <v>0</v>
      </c>
      <c r="CA121" s="109">
        <f t="shared" si="91"/>
        <v>0</v>
      </c>
      <c r="CB121" s="109">
        <f t="shared" si="91"/>
        <v>0</v>
      </c>
      <c r="CC121" s="109">
        <f t="shared" si="91"/>
        <v>0</v>
      </c>
      <c r="CD121" s="109">
        <f t="shared" si="91"/>
        <v>0</v>
      </c>
      <c r="CE121" s="109">
        <f t="shared" si="91"/>
        <v>0</v>
      </c>
      <c r="CF121" s="109">
        <f t="shared" si="91"/>
        <v>0</v>
      </c>
      <c r="CG121" s="109">
        <f t="shared" si="91"/>
        <v>0</v>
      </c>
      <c r="CH121" s="109">
        <f t="shared" si="91"/>
        <v>0</v>
      </c>
      <c r="CI121" s="109">
        <f t="shared" si="91"/>
        <v>0</v>
      </c>
      <c r="CJ121" s="109">
        <f t="shared" si="91"/>
        <v>0</v>
      </c>
      <c r="CK121" s="109">
        <f t="shared" si="91"/>
        <v>0</v>
      </c>
      <c r="CL121" s="109">
        <f t="shared" si="91"/>
        <v>0</v>
      </c>
      <c r="CM121" s="109">
        <f t="shared" si="91"/>
        <v>0</v>
      </c>
      <c r="CN121" s="109">
        <f t="shared" si="91"/>
        <v>0</v>
      </c>
      <c r="CO121" s="109">
        <f t="shared" si="91"/>
        <v>0</v>
      </c>
      <c r="CP121" s="109">
        <f t="shared" si="91"/>
        <v>0</v>
      </c>
      <c r="CQ121" s="109">
        <f t="shared" si="91"/>
        <v>0</v>
      </c>
      <c r="CR121" s="109">
        <f t="shared" si="91"/>
        <v>0</v>
      </c>
      <c r="CS121" s="109">
        <f t="shared" si="91"/>
        <v>0</v>
      </c>
      <c r="CT121" s="109">
        <f t="shared" si="91"/>
        <v>0</v>
      </c>
      <c r="CU121" s="109">
        <f t="shared" si="91"/>
        <v>0</v>
      </c>
      <c r="CV121" s="109">
        <f t="shared" si="91"/>
        <v>0</v>
      </c>
      <c r="CW121" s="109">
        <f t="shared" si="91"/>
        <v>0</v>
      </c>
      <c r="CX121" s="109">
        <f t="shared" si="91"/>
        <v>0</v>
      </c>
    </row>
    <row r="122" spans="1:102" ht="20" customHeight="1">
      <c r="A122" s="170">
        <f>SUM(C122:CX122)</f>
        <v>55290368.075051546</v>
      </c>
      <c r="B122" s="97" t="s">
        <v>174</v>
      </c>
      <c r="C122" s="109">
        <f t="shared" ref="C122:AH122" si="92">IF(C84&lt;$C$41,C121,0)</f>
        <v>16985080.777353227</v>
      </c>
      <c r="D122" s="109">
        <f t="shared" si="92"/>
        <v>38305287.297698319</v>
      </c>
      <c r="E122" s="109">
        <f t="shared" si="92"/>
        <v>0</v>
      </c>
      <c r="F122" s="109">
        <f t="shared" si="92"/>
        <v>0</v>
      </c>
      <c r="G122" s="109">
        <f t="shared" si="92"/>
        <v>0</v>
      </c>
      <c r="H122" s="109">
        <f t="shared" si="92"/>
        <v>0</v>
      </c>
      <c r="I122" s="109">
        <f t="shared" si="92"/>
        <v>0</v>
      </c>
      <c r="J122" s="109">
        <f t="shared" si="92"/>
        <v>0</v>
      </c>
      <c r="K122" s="109">
        <f t="shared" si="92"/>
        <v>0</v>
      </c>
      <c r="L122" s="109">
        <f t="shared" si="92"/>
        <v>0</v>
      </c>
      <c r="M122" s="109">
        <f t="shared" si="92"/>
        <v>0</v>
      </c>
      <c r="N122" s="109">
        <f t="shared" si="92"/>
        <v>0</v>
      </c>
      <c r="O122" s="109">
        <f t="shared" si="92"/>
        <v>0</v>
      </c>
      <c r="P122" s="109">
        <f t="shared" si="92"/>
        <v>0</v>
      </c>
      <c r="Q122" s="109">
        <f t="shared" si="92"/>
        <v>0</v>
      </c>
      <c r="R122" s="109">
        <f t="shared" si="92"/>
        <v>0</v>
      </c>
      <c r="S122" s="109">
        <f t="shared" si="92"/>
        <v>0</v>
      </c>
      <c r="T122" s="109">
        <f t="shared" si="92"/>
        <v>0</v>
      </c>
      <c r="U122" s="109">
        <f t="shared" si="92"/>
        <v>0</v>
      </c>
      <c r="V122" s="109">
        <f t="shared" si="92"/>
        <v>0</v>
      </c>
      <c r="W122" s="109">
        <f t="shared" si="92"/>
        <v>0</v>
      </c>
      <c r="X122" s="109">
        <f t="shared" si="92"/>
        <v>0</v>
      </c>
      <c r="Y122" s="109">
        <f t="shared" si="92"/>
        <v>0</v>
      </c>
      <c r="Z122" s="109">
        <f t="shared" si="92"/>
        <v>0</v>
      </c>
      <c r="AA122" s="109">
        <f t="shared" si="92"/>
        <v>0</v>
      </c>
      <c r="AB122" s="109">
        <f t="shared" si="92"/>
        <v>0</v>
      </c>
      <c r="AC122" s="109">
        <f t="shared" si="92"/>
        <v>0</v>
      </c>
      <c r="AD122" s="109">
        <f t="shared" si="92"/>
        <v>0</v>
      </c>
      <c r="AE122" s="109">
        <f t="shared" si="92"/>
        <v>0</v>
      </c>
      <c r="AF122" s="109">
        <f t="shared" si="92"/>
        <v>0</v>
      </c>
      <c r="AG122" s="109">
        <f t="shared" si="92"/>
        <v>0</v>
      </c>
      <c r="AH122" s="109">
        <f t="shared" si="92"/>
        <v>0</v>
      </c>
      <c r="AI122" s="109">
        <f t="shared" ref="AI122:BN122" si="93">IF(AI84&lt;$C$41,AI121,0)</f>
        <v>0</v>
      </c>
      <c r="AJ122" s="109">
        <f t="shared" si="93"/>
        <v>0</v>
      </c>
      <c r="AK122" s="109">
        <f t="shared" si="93"/>
        <v>0</v>
      </c>
      <c r="AL122" s="109">
        <f t="shared" si="93"/>
        <v>0</v>
      </c>
      <c r="AM122" s="109">
        <f t="shared" si="93"/>
        <v>0</v>
      </c>
      <c r="AN122" s="109">
        <f t="shared" si="93"/>
        <v>0</v>
      </c>
      <c r="AO122" s="109">
        <f t="shared" si="93"/>
        <v>0</v>
      </c>
      <c r="AP122" s="109">
        <f t="shared" si="93"/>
        <v>0</v>
      </c>
      <c r="AQ122" s="109">
        <f t="shared" si="93"/>
        <v>0</v>
      </c>
      <c r="AR122" s="109">
        <f t="shared" si="93"/>
        <v>0</v>
      </c>
      <c r="AS122" s="109">
        <f t="shared" si="93"/>
        <v>0</v>
      </c>
      <c r="AT122" s="109">
        <f t="shared" si="93"/>
        <v>0</v>
      </c>
      <c r="AU122" s="109">
        <f t="shared" si="93"/>
        <v>0</v>
      </c>
      <c r="AV122" s="109">
        <f t="shared" si="93"/>
        <v>0</v>
      </c>
      <c r="AW122" s="109">
        <f t="shared" si="93"/>
        <v>0</v>
      </c>
      <c r="AX122" s="109">
        <f t="shared" si="93"/>
        <v>0</v>
      </c>
      <c r="AY122" s="109">
        <f t="shared" si="93"/>
        <v>0</v>
      </c>
      <c r="AZ122" s="109">
        <f t="shared" si="93"/>
        <v>0</v>
      </c>
      <c r="BA122" s="109">
        <f t="shared" si="93"/>
        <v>0</v>
      </c>
      <c r="BB122" s="109">
        <f t="shared" si="93"/>
        <v>0</v>
      </c>
      <c r="BC122" s="109">
        <f t="shared" si="93"/>
        <v>0</v>
      </c>
      <c r="BD122" s="109">
        <f t="shared" si="93"/>
        <v>0</v>
      </c>
      <c r="BE122" s="109">
        <f t="shared" si="93"/>
        <v>0</v>
      </c>
      <c r="BF122" s="109">
        <f t="shared" si="93"/>
        <v>0</v>
      </c>
      <c r="BG122" s="109">
        <f t="shared" si="93"/>
        <v>0</v>
      </c>
      <c r="BH122" s="109">
        <f t="shared" si="93"/>
        <v>0</v>
      </c>
      <c r="BI122" s="109">
        <f t="shared" si="93"/>
        <v>0</v>
      </c>
      <c r="BJ122" s="109">
        <f t="shared" si="93"/>
        <v>0</v>
      </c>
      <c r="BK122" s="109">
        <f t="shared" si="93"/>
        <v>0</v>
      </c>
      <c r="BL122" s="109">
        <f t="shared" si="93"/>
        <v>0</v>
      </c>
      <c r="BM122" s="109">
        <f t="shared" si="93"/>
        <v>0</v>
      </c>
      <c r="BN122" s="109">
        <f t="shared" si="93"/>
        <v>0</v>
      </c>
      <c r="BO122" s="109">
        <f t="shared" ref="BO122:CT122" si="94">IF(BO84&lt;$C$41,BO121,0)</f>
        <v>0</v>
      </c>
      <c r="BP122" s="109">
        <f t="shared" si="94"/>
        <v>0</v>
      </c>
      <c r="BQ122" s="109">
        <f t="shared" si="94"/>
        <v>0</v>
      </c>
      <c r="BR122" s="109">
        <f t="shared" si="94"/>
        <v>0</v>
      </c>
      <c r="BS122" s="109">
        <f t="shared" si="94"/>
        <v>0</v>
      </c>
      <c r="BT122" s="109">
        <f t="shared" si="94"/>
        <v>0</v>
      </c>
      <c r="BU122" s="109">
        <f t="shared" si="94"/>
        <v>0</v>
      </c>
      <c r="BV122" s="109">
        <f t="shared" si="94"/>
        <v>0</v>
      </c>
      <c r="BW122" s="109">
        <f t="shared" si="94"/>
        <v>0</v>
      </c>
      <c r="BX122" s="109">
        <f t="shared" si="94"/>
        <v>0</v>
      </c>
      <c r="BY122" s="109">
        <f t="shared" si="94"/>
        <v>0</v>
      </c>
      <c r="BZ122" s="109">
        <f t="shared" si="94"/>
        <v>0</v>
      </c>
      <c r="CA122" s="109">
        <f t="shared" si="94"/>
        <v>0</v>
      </c>
      <c r="CB122" s="109">
        <f t="shared" si="94"/>
        <v>0</v>
      </c>
      <c r="CC122" s="109">
        <f t="shared" si="94"/>
        <v>0</v>
      </c>
      <c r="CD122" s="109">
        <f t="shared" si="94"/>
        <v>0</v>
      </c>
      <c r="CE122" s="109">
        <f t="shared" si="94"/>
        <v>0</v>
      </c>
      <c r="CF122" s="109">
        <f t="shared" si="94"/>
        <v>0</v>
      </c>
      <c r="CG122" s="109">
        <f t="shared" si="94"/>
        <v>0</v>
      </c>
      <c r="CH122" s="109">
        <f t="shared" si="94"/>
        <v>0</v>
      </c>
      <c r="CI122" s="109">
        <f t="shared" si="94"/>
        <v>0</v>
      </c>
      <c r="CJ122" s="109">
        <f t="shared" si="94"/>
        <v>0</v>
      </c>
      <c r="CK122" s="109">
        <f t="shared" si="94"/>
        <v>0</v>
      </c>
      <c r="CL122" s="109">
        <f t="shared" si="94"/>
        <v>0</v>
      </c>
      <c r="CM122" s="109">
        <f t="shared" si="94"/>
        <v>0</v>
      </c>
      <c r="CN122" s="109">
        <f t="shared" si="94"/>
        <v>0</v>
      </c>
      <c r="CO122" s="109">
        <f t="shared" si="94"/>
        <v>0</v>
      </c>
      <c r="CP122" s="109">
        <f t="shared" si="94"/>
        <v>0</v>
      </c>
      <c r="CQ122" s="109">
        <f t="shared" si="94"/>
        <v>0</v>
      </c>
      <c r="CR122" s="109">
        <f t="shared" si="94"/>
        <v>0</v>
      </c>
      <c r="CS122" s="109">
        <f t="shared" si="94"/>
        <v>0</v>
      </c>
      <c r="CT122" s="109">
        <f t="shared" si="94"/>
        <v>0</v>
      </c>
      <c r="CU122" s="109">
        <f t="shared" ref="CU122:CX122" si="95">IF(CU84&lt;$C$41,CU121,0)</f>
        <v>0</v>
      </c>
      <c r="CV122" s="109">
        <f t="shared" si="95"/>
        <v>0</v>
      </c>
      <c r="CW122" s="109">
        <f t="shared" si="95"/>
        <v>0</v>
      </c>
      <c r="CX122" s="109">
        <f t="shared" si="95"/>
        <v>0</v>
      </c>
    </row>
    <row r="123" spans="1:102" ht="20" customHeight="1">
      <c r="A123" s="181">
        <f>SUM(C123:CX123)</f>
        <v>0.99999999999999989</v>
      </c>
      <c r="B123" s="97" t="s">
        <v>173</v>
      </c>
      <c r="C123" s="181">
        <f t="shared" ref="C123:AH123" si="96">IF(AND(C84&gt;$C$41,C84&lt;$C$43),$C$32,IF(OR(C84=$C$41,C84=$C$43),$C$32/2,0))</f>
        <v>0</v>
      </c>
      <c r="D123" s="181">
        <f t="shared" si="96"/>
        <v>0</v>
      </c>
      <c r="E123" s="181">
        <f t="shared" si="96"/>
        <v>0.05</v>
      </c>
      <c r="F123" s="181">
        <f t="shared" si="96"/>
        <v>0.1</v>
      </c>
      <c r="G123" s="181">
        <f t="shared" si="96"/>
        <v>0.1</v>
      </c>
      <c r="H123" s="181">
        <f t="shared" si="96"/>
        <v>0.1</v>
      </c>
      <c r="I123" s="181">
        <f t="shared" si="96"/>
        <v>0.1</v>
      </c>
      <c r="J123" s="181">
        <f t="shared" si="96"/>
        <v>0.1</v>
      </c>
      <c r="K123" s="181">
        <f t="shared" si="96"/>
        <v>0.1</v>
      </c>
      <c r="L123" s="181">
        <f t="shared" si="96"/>
        <v>0.1</v>
      </c>
      <c r="M123" s="181">
        <f t="shared" si="96"/>
        <v>0.1</v>
      </c>
      <c r="N123" s="181">
        <f t="shared" si="96"/>
        <v>0.1</v>
      </c>
      <c r="O123" s="181">
        <f t="shared" si="96"/>
        <v>0.05</v>
      </c>
      <c r="P123" s="181">
        <f t="shared" si="96"/>
        <v>0</v>
      </c>
      <c r="Q123" s="181">
        <f t="shared" si="96"/>
        <v>0</v>
      </c>
      <c r="R123" s="181">
        <f t="shared" si="96"/>
        <v>0</v>
      </c>
      <c r="S123" s="181">
        <f t="shared" si="96"/>
        <v>0</v>
      </c>
      <c r="T123" s="181">
        <f t="shared" si="96"/>
        <v>0</v>
      </c>
      <c r="U123" s="181">
        <f t="shared" si="96"/>
        <v>0</v>
      </c>
      <c r="V123" s="181">
        <f t="shared" si="96"/>
        <v>0</v>
      </c>
      <c r="W123" s="181">
        <f t="shared" si="96"/>
        <v>0</v>
      </c>
      <c r="X123" s="181">
        <f t="shared" si="96"/>
        <v>0</v>
      </c>
      <c r="Y123" s="181">
        <f t="shared" si="96"/>
        <v>0</v>
      </c>
      <c r="Z123" s="181">
        <f t="shared" si="96"/>
        <v>0</v>
      </c>
      <c r="AA123" s="181">
        <f t="shared" si="96"/>
        <v>0</v>
      </c>
      <c r="AB123" s="181">
        <f t="shared" si="96"/>
        <v>0</v>
      </c>
      <c r="AC123" s="181">
        <f t="shared" si="96"/>
        <v>0</v>
      </c>
      <c r="AD123" s="181">
        <f t="shared" si="96"/>
        <v>0</v>
      </c>
      <c r="AE123" s="181">
        <f t="shared" si="96"/>
        <v>0</v>
      </c>
      <c r="AF123" s="181">
        <f t="shared" si="96"/>
        <v>0</v>
      </c>
      <c r="AG123" s="181">
        <f t="shared" si="96"/>
        <v>0</v>
      </c>
      <c r="AH123" s="181">
        <f t="shared" si="96"/>
        <v>0</v>
      </c>
      <c r="AI123" s="181">
        <f t="shared" ref="AI123:BN123" si="97">IF(AND(AI84&gt;$C$41,AI84&lt;$C$43),$C$32,IF(OR(AI84=$C$41,AI84=$C$43),$C$32/2,0))</f>
        <v>0</v>
      </c>
      <c r="AJ123" s="181">
        <f t="shared" si="97"/>
        <v>0</v>
      </c>
      <c r="AK123" s="181">
        <f t="shared" si="97"/>
        <v>0</v>
      </c>
      <c r="AL123" s="181">
        <f t="shared" si="97"/>
        <v>0</v>
      </c>
      <c r="AM123" s="181">
        <f t="shared" si="97"/>
        <v>0</v>
      </c>
      <c r="AN123" s="181">
        <f t="shared" si="97"/>
        <v>0</v>
      </c>
      <c r="AO123" s="181">
        <f t="shared" si="97"/>
        <v>0</v>
      </c>
      <c r="AP123" s="181">
        <f t="shared" si="97"/>
        <v>0</v>
      </c>
      <c r="AQ123" s="181">
        <f t="shared" si="97"/>
        <v>0</v>
      </c>
      <c r="AR123" s="181">
        <f t="shared" si="97"/>
        <v>0</v>
      </c>
      <c r="AS123" s="181">
        <f t="shared" si="97"/>
        <v>0</v>
      </c>
      <c r="AT123" s="181">
        <f t="shared" si="97"/>
        <v>0</v>
      </c>
      <c r="AU123" s="181">
        <f t="shared" si="97"/>
        <v>0</v>
      </c>
      <c r="AV123" s="181">
        <f t="shared" si="97"/>
        <v>0</v>
      </c>
      <c r="AW123" s="181">
        <f t="shared" si="97"/>
        <v>0</v>
      </c>
      <c r="AX123" s="181">
        <f t="shared" si="97"/>
        <v>0</v>
      </c>
      <c r="AY123" s="181">
        <f t="shared" si="97"/>
        <v>0</v>
      </c>
      <c r="AZ123" s="181">
        <f t="shared" si="97"/>
        <v>0</v>
      </c>
      <c r="BA123" s="181">
        <f t="shared" si="97"/>
        <v>0</v>
      </c>
      <c r="BB123" s="181">
        <f t="shared" si="97"/>
        <v>0</v>
      </c>
      <c r="BC123" s="181">
        <f t="shared" si="97"/>
        <v>0</v>
      </c>
      <c r="BD123" s="181">
        <f t="shared" si="97"/>
        <v>0</v>
      </c>
      <c r="BE123" s="181">
        <f t="shared" si="97"/>
        <v>0</v>
      </c>
      <c r="BF123" s="181">
        <f t="shared" si="97"/>
        <v>0</v>
      </c>
      <c r="BG123" s="181">
        <f t="shared" si="97"/>
        <v>0</v>
      </c>
      <c r="BH123" s="181">
        <f t="shared" si="97"/>
        <v>0</v>
      </c>
      <c r="BI123" s="181">
        <f t="shared" si="97"/>
        <v>0</v>
      </c>
      <c r="BJ123" s="181">
        <f t="shared" si="97"/>
        <v>0</v>
      </c>
      <c r="BK123" s="181">
        <f t="shared" si="97"/>
        <v>0</v>
      </c>
      <c r="BL123" s="181">
        <f t="shared" si="97"/>
        <v>0</v>
      </c>
      <c r="BM123" s="181">
        <f t="shared" si="97"/>
        <v>0</v>
      </c>
      <c r="BN123" s="181">
        <f t="shared" si="97"/>
        <v>0</v>
      </c>
      <c r="BO123" s="181">
        <f t="shared" ref="BO123:CX123" si="98">IF(AND(BO84&gt;$C$41,BO84&lt;$C$43),$C$32,IF(OR(BO84=$C$41,BO84=$C$43),$C$32/2,0))</f>
        <v>0</v>
      </c>
      <c r="BP123" s="181">
        <f t="shared" si="98"/>
        <v>0</v>
      </c>
      <c r="BQ123" s="181">
        <f t="shared" si="98"/>
        <v>0</v>
      </c>
      <c r="BR123" s="181">
        <f t="shared" si="98"/>
        <v>0</v>
      </c>
      <c r="BS123" s="181">
        <f t="shared" si="98"/>
        <v>0</v>
      </c>
      <c r="BT123" s="181">
        <f t="shared" si="98"/>
        <v>0</v>
      </c>
      <c r="BU123" s="181">
        <f t="shared" si="98"/>
        <v>0</v>
      </c>
      <c r="BV123" s="181">
        <f t="shared" si="98"/>
        <v>0</v>
      </c>
      <c r="BW123" s="181">
        <f t="shared" si="98"/>
        <v>0</v>
      </c>
      <c r="BX123" s="181">
        <f t="shared" si="98"/>
        <v>0</v>
      </c>
      <c r="BY123" s="181">
        <f t="shared" si="98"/>
        <v>0</v>
      </c>
      <c r="BZ123" s="181">
        <f t="shared" si="98"/>
        <v>0</v>
      </c>
      <c r="CA123" s="181">
        <f t="shared" si="98"/>
        <v>0</v>
      </c>
      <c r="CB123" s="181">
        <f t="shared" si="98"/>
        <v>0</v>
      </c>
      <c r="CC123" s="181">
        <f t="shared" si="98"/>
        <v>0</v>
      </c>
      <c r="CD123" s="181">
        <f t="shared" si="98"/>
        <v>0</v>
      </c>
      <c r="CE123" s="181">
        <f t="shared" si="98"/>
        <v>0</v>
      </c>
      <c r="CF123" s="181">
        <f t="shared" si="98"/>
        <v>0</v>
      </c>
      <c r="CG123" s="181">
        <f t="shared" si="98"/>
        <v>0</v>
      </c>
      <c r="CH123" s="181">
        <f t="shared" si="98"/>
        <v>0</v>
      </c>
      <c r="CI123" s="181">
        <f t="shared" si="98"/>
        <v>0</v>
      </c>
      <c r="CJ123" s="181">
        <f t="shared" si="98"/>
        <v>0</v>
      </c>
      <c r="CK123" s="181">
        <f t="shared" si="98"/>
        <v>0</v>
      </c>
      <c r="CL123" s="181">
        <f t="shared" si="98"/>
        <v>0</v>
      </c>
      <c r="CM123" s="181">
        <f t="shared" si="98"/>
        <v>0</v>
      </c>
      <c r="CN123" s="181">
        <f t="shared" si="98"/>
        <v>0</v>
      </c>
      <c r="CO123" s="181">
        <f t="shared" si="98"/>
        <v>0</v>
      </c>
      <c r="CP123" s="181">
        <f t="shared" si="98"/>
        <v>0</v>
      </c>
      <c r="CQ123" s="181">
        <f t="shared" si="98"/>
        <v>0</v>
      </c>
      <c r="CR123" s="181">
        <f t="shared" si="98"/>
        <v>0</v>
      </c>
      <c r="CS123" s="181">
        <f t="shared" si="98"/>
        <v>0</v>
      </c>
      <c r="CT123" s="181">
        <f t="shared" si="98"/>
        <v>0</v>
      </c>
      <c r="CU123" s="181">
        <f t="shared" si="98"/>
        <v>0</v>
      </c>
      <c r="CV123" s="181">
        <f t="shared" si="98"/>
        <v>0</v>
      </c>
      <c r="CW123" s="181">
        <f t="shared" si="98"/>
        <v>0</v>
      </c>
      <c r="CX123" s="181">
        <f t="shared" si="98"/>
        <v>0</v>
      </c>
    </row>
    <row r="124" spans="1:102" ht="20" customHeight="1">
      <c r="A124" s="170">
        <f t="shared" si="89"/>
        <v>55290368.075051539</v>
      </c>
      <c r="B124" s="97" t="str">
        <f>"Depreciation Schedule - straight line"&amp;ROUND(C31,0)&amp;" years"</f>
        <v>Depreciation Schedule - straight line10 years</v>
      </c>
      <c r="C124" s="182">
        <f t="shared" ref="C124:AH124" si="99">IF(C84&lt;=$C$43,$A$122*C123,0)</f>
        <v>0</v>
      </c>
      <c r="D124" s="182">
        <f t="shared" si="99"/>
        <v>0</v>
      </c>
      <c r="E124" s="182">
        <f t="shared" si="99"/>
        <v>2764518.4037525775</v>
      </c>
      <c r="F124" s="182">
        <f t="shared" si="99"/>
        <v>5529036.807505155</v>
      </c>
      <c r="G124" s="182">
        <f t="shared" si="99"/>
        <v>5529036.807505155</v>
      </c>
      <c r="H124" s="182">
        <f t="shared" si="99"/>
        <v>5529036.807505155</v>
      </c>
      <c r="I124" s="182">
        <f t="shared" si="99"/>
        <v>5529036.807505155</v>
      </c>
      <c r="J124" s="182">
        <f t="shared" si="99"/>
        <v>5529036.807505155</v>
      </c>
      <c r="K124" s="182">
        <f t="shared" si="99"/>
        <v>5529036.807505155</v>
      </c>
      <c r="L124" s="182">
        <f t="shared" si="99"/>
        <v>5529036.807505155</v>
      </c>
      <c r="M124" s="182">
        <f t="shared" si="99"/>
        <v>5529036.807505155</v>
      </c>
      <c r="N124" s="182">
        <f t="shared" si="99"/>
        <v>5529036.807505155</v>
      </c>
      <c r="O124" s="182">
        <f t="shared" si="99"/>
        <v>2764518.4037525775</v>
      </c>
      <c r="P124" s="182">
        <f t="shared" si="99"/>
        <v>0</v>
      </c>
      <c r="Q124" s="182">
        <f t="shared" si="99"/>
        <v>0</v>
      </c>
      <c r="R124" s="182">
        <f t="shared" si="99"/>
        <v>0</v>
      </c>
      <c r="S124" s="182">
        <f t="shared" si="99"/>
        <v>0</v>
      </c>
      <c r="T124" s="182">
        <f t="shared" si="99"/>
        <v>0</v>
      </c>
      <c r="U124" s="182">
        <f t="shared" si="99"/>
        <v>0</v>
      </c>
      <c r="V124" s="182">
        <f t="shared" si="99"/>
        <v>0</v>
      </c>
      <c r="W124" s="182">
        <f t="shared" si="99"/>
        <v>0</v>
      </c>
      <c r="X124" s="182">
        <f t="shared" si="99"/>
        <v>0</v>
      </c>
      <c r="Y124" s="182">
        <f t="shared" si="99"/>
        <v>0</v>
      </c>
      <c r="Z124" s="182">
        <f t="shared" si="99"/>
        <v>0</v>
      </c>
      <c r="AA124" s="182">
        <f t="shared" si="99"/>
        <v>0</v>
      </c>
      <c r="AB124" s="182">
        <f t="shared" si="99"/>
        <v>0</v>
      </c>
      <c r="AC124" s="182">
        <f t="shared" si="99"/>
        <v>0</v>
      </c>
      <c r="AD124" s="182">
        <f t="shared" si="99"/>
        <v>0</v>
      </c>
      <c r="AE124" s="182">
        <f t="shared" si="99"/>
        <v>0</v>
      </c>
      <c r="AF124" s="182">
        <f t="shared" si="99"/>
        <v>0</v>
      </c>
      <c r="AG124" s="182">
        <f t="shared" si="99"/>
        <v>0</v>
      </c>
      <c r="AH124" s="182">
        <f t="shared" si="99"/>
        <v>0</v>
      </c>
      <c r="AI124" s="182">
        <f t="shared" ref="AI124:BN124" si="100">IF(AI84&lt;=$C$43,$A$122*AI123,0)</f>
        <v>0</v>
      </c>
      <c r="AJ124" s="182">
        <f t="shared" si="100"/>
        <v>0</v>
      </c>
      <c r="AK124" s="182">
        <f t="shared" si="100"/>
        <v>0</v>
      </c>
      <c r="AL124" s="182">
        <f t="shared" si="100"/>
        <v>0</v>
      </c>
      <c r="AM124" s="182">
        <f t="shared" si="100"/>
        <v>0</v>
      </c>
      <c r="AN124" s="182">
        <f t="shared" si="100"/>
        <v>0</v>
      </c>
      <c r="AO124" s="182">
        <f t="shared" si="100"/>
        <v>0</v>
      </c>
      <c r="AP124" s="182">
        <f t="shared" si="100"/>
        <v>0</v>
      </c>
      <c r="AQ124" s="182">
        <f t="shared" si="100"/>
        <v>0</v>
      </c>
      <c r="AR124" s="182">
        <f t="shared" si="100"/>
        <v>0</v>
      </c>
      <c r="AS124" s="182">
        <f t="shared" si="100"/>
        <v>0</v>
      </c>
      <c r="AT124" s="182">
        <f t="shared" si="100"/>
        <v>0</v>
      </c>
      <c r="AU124" s="182">
        <f t="shared" si="100"/>
        <v>0</v>
      </c>
      <c r="AV124" s="182">
        <f t="shared" si="100"/>
        <v>0</v>
      </c>
      <c r="AW124" s="182">
        <f t="shared" si="100"/>
        <v>0</v>
      </c>
      <c r="AX124" s="182">
        <f t="shared" si="100"/>
        <v>0</v>
      </c>
      <c r="AY124" s="182">
        <f t="shared" si="100"/>
        <v>0</v>
      </c>
      <c r="AZ124" s="182">
        <f t="shared" si="100"/>
        <v>0</v>
      </c>
      <c r="BA124" s="182">
        <f t="shared" si="100"/>
        <v>0</v>
      </c>
      <c r="BB124" s="182">
        <f t="shared" si="100"/>
        <v>0</v>
      </c>
      <c r="BC124" s="182">
        <f t="shared" si="100"/>
        <v>0</v>
      </c>
      <c r="BD124" s="182">
        <f t="shared" si="100"/>
        <v>0</v>
      </c>
      <c r="BE124" s="182">
        <f t="shared" si="100"/>
        <v>0</v>
      </c>
      <c r="BF124" s="182">
        <f t="shared" si="100"/>
        <v>0</v>
      </c>
      <c r="BG124" s="182">
        <f t="shared" si="100"/>
        <v>0</v>
      </c>
      <c r="BH124" s="182">
        <f t="shared" si="100"/>
        <v>0</v>
      </c>
      <c r="BI124" s="182">
        <f t="shared" si="100"/>
        <v>0</v>
      </c>
      <c r="BJ124" s="182">
        <f t="shared" si="100"/>
        <v>0</v>
      </c>
      <c r="BK124" s="182">
        <f t="shared" si="100"/>
        <v>0</v>
      </c>
      <c r="BL124" s="182">
        <f t="shared" si="100"/>
        <v>0</v>
      </c>
      <c r="BM124" s="182">
        <f t="shared" si="100"/>
        <v>0</v>
      </c>
      <c r="BN124" s="182">
        <f t="shared" si="100"/>
        <v>0</v>
      </c>
      <c r="BO124" s="182">
        <f t="shared" ref="BO124:CT124" si="101">IF(BO84&lt;=$C$43,$A$122*BO123,0)</f>
        <v>0</v>
      </c>
      <c r="BP124" s="182">
        <f t="shared" si="101"/>
        <v>0</v>
      </c>
      <c r="BQ124" s="182">
        <f t="shared" si="101"/>
        <v>0</v>
      </c>
      <c r="BR124" s="182">
        <f t="shared" si="101"/>
        <v>0</v>
      </c>
      <c r="BS124" s="182">
        <f t="shared" si="101"/>
        <v>0</v>
      </c>
      <c r="BT124" s="182">
        <f t="shared" si="101"/>
        <v>0</v>
      </c>
      <c r="BU124" s="182">
        <f t="shared" si="101"/>
        <v>0</v>
      </c>
      <c r="BV124" s="182">
        <f t="shared" si="101"/>
        <v>0</v>
      </c>
      <c r="BW124" s="182">
        <f t="shared" si="101"/>
        <v>0</v>
      </c>
      <c r="BX124" s="182">
        <f t="shared" si="101"/>
        <v>0</v>
      </c>
      <c r="BY124" s="182">
        <f t="shared" si="101"/>
        <v>0</v>
      </c>
      <c r="BZ124" s="182">
        <f t="shared" si="101"/>
        <v>0</v>
      </c>
      <c r="CA124" s="182">
        <f t="shared" si="101"/>
        <v>0</v>
      </c>
      <c r="CB124" s="182">
        <f t="shared" si="101"/>
        <v>0</v>
      </c>
      <c r="CC124" s="182">
        <f t="shared" si="101"/>
        <v>0</v>
      </c>
      <c r="CD124" s="182">
        <f t="shared" si="101"/>
        <v>0</v>
      </c>
      <c r="CE124" s="182">
        <f t="shared" si="101"/>
        <v>0</v>
      </c>
      <c r="CF124" s="182">
        <f t="shared" si="101"/>
        <v>0</v>
      </c>
      <c r="CG124" s="182">
        <f t="shared" si="101"/>
        <v>0</v>
      </c>
      <c r="CH124" s="182">
        <f t="shared" si="101"/>
        <v>0</v>
      </c>
      <c r="CI124" s="182">
        <f t="shared" si="101"/>
        <v>0</v>
      </c>
      <c r="CJ124" s="182">
        <f t="shared" si="101"/>
        <v>0</v>
      </c>
      <c r="CK124" s="182">
        <f t="shared" si="101"/>
        <v>0</v>
      </c>
      <c r="CL124" s="182">
        <f t="shared" si="101"/>
        <v>0</v>
      </c>
      <c r="CM124" s="182">
        <f t="shared" si="101"/>
        <v>0</v>
      </c>
      <c r="CN124" s="182">
        <f t="shared" si="101"/>
        <v>0</v>
      </c>
      <c r="CO124" s="182">
        <f t="shared" si="101"/>
        <v>0</v>
      </c>
      <c r="CP124" s="182">
        <f t="shared" si="101"/>
        <v>0</v>
      </c>
      <c r="CQ124" s="182">
        <f t="shared" si="101"/>
        <v>0</v>
      </c>
      <c r="CR124" s="182">
        <f t="shared" si="101"/>
        <v>0</v>
      </c>
      <c r="CS124" s="182">
        <f t="shared" si="101"/>
        <v>0</v>
      </c>
      <c r="CT124" s="182">
        <f t="shared" si="101"/>
        <v>0</v>
      </c>
      <c r="CU124" s="182">
        <f t="shared" ref="CU124:CX124" si="102">IF(CU84&lt;=$C$43,$A$122*CU123,0)</f>
        <v>0</v>
      </c>
      <c r="CV124" s="182">
        <f t="shared" si="102"/>
        <v>0</v>
      </c>
      <c r="CW124" s="182">
        <f t="shared" si="102"/>
        <v>0</v>
      </c>
      <c r="CX124" s="182">
        <f t="shared" si="102"/>
        <v>0</v>
      </c>
    </row>
    <row r="125" spans="1:102" ht="20" customHeight="1">
      <c r="A125" s="170"/>
      <c r="B125" s="97"/>
      <c r="C125" s="182"/>
      <c r="D125" s="182"/>
      <c r="E125" s="182"/>
      <c r="F125" s="182"/>
      <c r="G125" s="182"/>
      <c r="H125" s="182"/>
      <c r="I125" s="182"/>
      <c r="J125" s="182"/>
      <c r="K125" s="182"/>
      <c r="L125" s="182"/>
      <c r="M125" s="182"/>
      <c r="N125" s="182"/>
      <c r="O125" s="182"/>
      <c r="P125" s="182"/>
      <c r="Q125" s="182"/>
      <c r="R125" s="182"/>
      <c r="S125" s="182"/>
      <c r="T125" s="182"/>
      <c r="U125" s="182"/>
      <c r="V125" s="182"/>
      <c r="W125" s="182"/>
      <c r="X125" s="182"/>
      <c r="Y125" s="182"/>
      <c r="Z125" s="182"/>
      <c r="AA125" s="182"/>
      <c r="AB125" s="182"/>
      <c r="AC125" s="182"/>
      <c r="AD125" s="182"/>
      <c r="AE125" s="182"/>
      <c r="AF125" s="182"/>
      <c r="AG125" s="182"/>
      <c r="AH125" s="182"/>
      <c r="AI125" s="182"/>
      <c r="AJ125" s="182"/>
      <c r="AK125" s="182"/>
      <c r="AL125" s="182"/>
      <c r="AM125" s="182"/>
      <c r="AN125" s="182"/>
      <c r="AO125" s="182"/>
      <c r="AP125" s="182"/>
      <c r="AQ125" s="182"/>
      <c r="AR125" s="182"/>
      <c r="AS125" s="182"/>
      <c r="AT125" s="182"/>
      <c r="AU125" s="182"/>
      <c r="AV125" s="182"/>
      <c r="AW125" s="182"/>
      <c r="AX125" s="182"/>
      <c r="AY125" s="182"/>
      <c r="AZ125" s="182"/>
      <c r="BA125" s="182"/>
      <c r="BB125" s="182"/>
      <c r="BC125" s="182"/>
      <c r="BD125" s="182"/>
      <c r="BE125" s="182"/>
      <c r="BF125" s="182"/>
      <c r="BG125" s="182"/>
      <c r="BH125" s="182"/>
      <c r="BI125" s="182"/>
      <c r="BJ125" s="182"/>
      <c r="BK125" s="182"/>
      <c r="BL125" s="182"/>
      <c r="BM125" s="182"/>
      <c r="BN125" s="182"/>
      <c r="BO125" s="182"/>
      <c r="BP125" s="182"/>
      <c r="BQ125" s="182"/>
      <c r="BR125" s="182"/>
      <c r="BS125" s="182"/>
      <c r="BT125" s="182"/>
      <c r="BU125" s="182"/>
      <c r="BV125" s="182"/>
      <c r="BW125" s="182"/>
      <c r="BX125" s="182"/>
      <c r="BY125" s="182"/>
      <c r="BZ125" s="182"/>
      <c r="CA125" s="182"/>
      <c r="CB125" s="182"/>
      <c r="CC125" s="182"/>
      <c r="CD125" s="182"/>
      <c r="CE125" s="182"/>
      <c r="CF125" s="182"/>
      <c r="CG125" s="182"/>
      <c r="CH125" s="182"/>
      <c r="CI125" s="182"/>
      <c r="CJ125" s="182"/>
      <c r="CK125" s="182"/>
      <c r="CL125" s="182"/>
      <c r="CM125" s="182"/>
      <c r="CN125" s="182"/>
      <c r="CO125" s="182"/>
      <c r="CP125" s="182"/>
      <c r="CQ125" s="182"/>
      <c r="CR125" s="182"/>
      <c r="CS125" s="182"/>
      <c r="CT125" s="182"/>
      <c r="CU125" s="182"/>
      <c r="CV125" s="182"/>
      <c r="CW125" s="182"/>
      <c r="CX125" s="182"/>
    </row>
    <row r="126" spans="1:102" s="88" customFormat="1" ht="20" customHeight="1">
      <c r="A126" s="90" t="s">
        <v>115</v>
      </c>
      <c r="C126" s="183"/>
      <c r="D126" s="183"/>
      <c r="E126" s="183"/>
      <c r="F126" s="184"/>
      <c r="G126" s="184"/>
      <c r="H126" s="184"/>
      <c r="I126" s="184"/>
      <c r="J126" s="184"/>
      <c r="K126" s="184"/>
      <c r="L126" s="184"/>
      <c r="M126" s="184"/>
      <c r="N126" s="184"/>
      <c r="O126" s="184"/>
      <c r="P126" s="184"/>
      <c r="Q126" s="184"/>
      <c r="R126" s="184"/>
      <c r="S126" s="184"/>
      <c r="T126" s="184"/>
      <c r="U126" s="184"/>
      <c r="V126" s="184"/>
      <c r="W126" s="184"/>
      <c r="X126" s="183"/>
      <c r="Y126" s="183"/>
      <c r="Z126" s="183"/>
      <c r="AA126" s="183"/>
      <c r="AB126" s="183"/>
      <c r="AC126" s="183"/>
      <c r="AD126" s="183"/>
      <c r="AE126" s="183"/>
      <c r="AF126" s="183"/>
      <c r="AG126" s="183"/>
      <c r="AH126" s="183"/>
      <c r="AI126" s="183"/>
      <c r="AJ126" s="183"/>
      <c r="AK126" s="183"/>
      <c r="AL126" s="183"/>
      <c r="AM126" s="183"/>
      <c r="AN126" s="183"/>
      <c r="AO126" s="183"/>
      <c r="AP126" s="183"/>
      <c r="AQ126" s="183"/>
      <c r="AR126" s="183"/>
      <c r="AS126" s="183"/>
      <c r="AT126" s="183"/>
      <c r="AU126" s="183"/>
      <c r="AV126" s="183"/>
      <c r="AW126" s="183"/>
      <c r="AX126" s="183"/>
      <c r="AY126" s="183"/>
      <c r="AZ126" s="183"/>
      <c r="BA126" s="183"/>
      <c r="BB126" s="183"/>
      <c r="BC126" s="183"/>
      <c r="BD126" s="183"/>
      <c r="BE126" s="183"/>
      <c r="BF126" s="183"/>
      <c r="BG126" s="183"/>
      <c r="BH126" s="183"/>
      <c r="BI126" s="183"/>
      <c r="BJ126" s="183"/>
      <c r="BK126" s="183"/>
      <c r="BL126" s="183"/>
      <c r="BM126" s="183"/>
      <c r="BN126" s="183"/>
      <c r="BO126" s="183"/>
      <c r="BP126" s="183"/>
      <c r="BQ126" s="183"/>
      <c r="BR126" s="183"/>
      <c r="BS126" s="183"/>
      <c r="BT126" s="183"/>
      <c r="BU126" s="183"/>
      <c r="BV126" s="183"/>
      <c r="BW126" s="183"/>
      <c r="BX126" s="183"/>
      <c r="BY126" s="183"/>
      <c r="BZ126" s="183"/>
      <c r="CA126" s="183"/>
      <c r="CB126" s="183"/>
      <c r="CC126" s="183"/>
      <c r="CD126" s="183"/>
      <c r="CE126" s="183"/>
      <c r="CF126" s="183"/>
      <c r="CG126" s="183"/>
      <c r="CH126" s="183"/>
      <c r="CI126" s="183"/>
      <c r="CJ126" s="183"/>
      <c r="CK126" s="183"/>
      <c r="CL126" s="183"/>
      <c r="CM126" s="183"/>
      <c r="CN126" s="183"/>
      <c r="CO126" s="183"/>
      <c r="CP126" s="183"/>
      <c r="CQ126" s="183"/>
      <c r="CR126" s="183"/>
      <c r="CS126" s="183"/>
      <c r="CT126" s="183"/>
      <c r="CU126" s="183"/>
      <c r="CV126" s="183"/>
      <c r="CW126" s="183"/>
      <c r="CX126" s="183"/>
    </row>
    <row r="127" spans="1:102" ht="20" customHeight="1">
      <c r="A127" s="109"/>
      <c r="B127" s="155" t="s">
        <v>147</v>
      </c>
      <c r="C127" s="123">
        <f>$C$38</f>
        <v>2024</v>
      </c>
      <c r="D127" s="123">
        <f t="shared" ref="D127:BO128" si="103">C127+1</f>
        <v>2025</v>
      </c>
      <c r="E127" s="123">
        <f t="shared" si="103"/>
        <v>2026</v>
      </c>
      <c r="F127" s="123">
        <f t="shared" si="103"/>
        <v>2027</v>
      </c>
      <c r="G127" s="123">
        <f t="shared" si="103"/>
        <v>2028</v>
      </c>
      <c r="H127" s="123">
        <f t="shared" si="103"/>
        <v>2029</v>
      </c>
      <c r="I127" s="123">
        <f t="shared" si="103"/>
        <v>2030</v>
      </c>
      <c r="J127" s="123">
        <f t="shared" si="103"/>
        <v>2031</v>
      </c>
      <c r="K127" s="123">
        <f t="shared" si="103"/>
        <v>2032</v>
      </c>
      <c r="L127" s="123">
        <f t="shared" si="103"/>
        <v>2033</v>
      </c>
      <c r="M127" s="123">
        <f t="shared" si="103"/>
        <v>2034</v>
      </c>
      <c r="N127" s="123">
        <f t="shared" si="103"/>
        <v>2035</v>
      </c>
      <c r="O127" s="123">
        <f t="shared" si="103"/>
        <v>2036</v>
      </c>
      <c r="P127" s="123">
        <f t="shared" si="103"/>
        <v>2037</v>
      </c>
      <c r="Q127" s="123">
        <f t="shared" si="103"/>
        <v>2038</v>
      </c>
      <c r="R127" s="123">
        <f t="shared" si="103"/>
        <v>2039</v>
      </c>
      <c r="S127" s="123">
        <f t="shared" si="103"/>
        <v>2040</v>
      </c>
      <c r="T127" s="123">
        <f t="shared" si="103"/>
        <v>2041</v>
      </c>
      <c r="U127" s="123">
        <f t="shared" si="103"/>
        <v>2042</v>
      </c>
      <c r="V127" s="123">
        <f t="shared" si="103"/>
        <v>2043</v>
      </c>
      <c r="W127" s="123">
        <f t="shared" si="103"/>
        <v>2044</v>
      </c>
      <c r="X127" s="123">
        <f t="shared" si="103"/>
        <v>2045</v>
      </c>
      <c r="Y127" s="123">
        <f t="shared" si="103"/>
        <v>2046</v>
      </c>
      <c r="Z127" s="123">
        <f t="shared" si="103"/>
        <v>2047</v>
      </c>
      <c r="AA127" s="123">
        <f t="shared" si="103"/>
        <v>2048</v>
      </c>
      <c r="AB127" s="123">
        <f t="shared" si="103"/>
        <v>2049</v>
      </c>
      <c r="AC127" s="123">
        <f t="shared" si="103"/>
        <v>2050</v>
      </c>
      <c r="AD127" s="123">
        <f t="shared" si="103"/>
        <v>2051</v>
      </c>
      <c r="AE127" s="123">
        <f t="shared" si="103"/>
        <v>2052</v>
      </c>
      <c r="AF127" s="123">
        <f t="shared" si="103"/>
        <v>2053</v>
      </c>
      <c r="AG127" s="123">
        <f t="shared" si="103"/>
        <v>2054</v>
      </c>
      <c r="AH127" s="123">
        <f t="shared" si="103"/>
        <v>2055</v>
      </c>
      <c r="AI127" s="123">
        <f t="shared" si="103"/>
        <v>2056</v>
      </c>
      <c r="AJ127" s="123">
        <f t="shared" si="103"/>
        <v>2057</v>
      </c>
      <c r="AK127" s="123">
        <f t="shared" si="103"/>
        <v>2058</v>
      </c>
      <c r="AL127" s="123">
        <f t="shared" si="103"/>
        <v>2059</v>
      </c>
      <c r="AM127" s="123">
        <f t="shared" si="103"/>
        <v>2060</v>
      </c>
      <c r="AN127" s="123">
        <f t="shared" si="103"/>
        <v>2061</v>
      </c>
      <c r="AO127" s="123">
        <f t="shared" si="103"/>
        <v>2062</v>
      </c>
      <c r="AP127" s="123">
        <f t="shared" si="103"/>
        <v>2063</v>
      </c>
      <c r="AQ127" s="123">
        <f t="shared" si="103"/>
        <v>2064</v>
      </c>
      <c r="AR127" s="123">
        <f t="shared" si="103"/>
        <v>2065</v>
      </c>
      <c r="AS127" s="123">
        <f t="shared" si="103"/>
        <v>2066</v>
      </c>
      <c r="AT127" s="123">
        <f t="shared" si="103"/>
        <v>2067</v>
      </c>
      <c r="AU127" s="123">
        <f t="shared" si="103"/>
        <v>2068</v>
      </c>
      <c r="AV127" s="123">
        <f t="shared" si="103"/>
        <v>2069</v>
      </c>
      <c r="AW127" s="123">
        <f t="shared" si="103"/>
        <v>2070</v>
      </c>
      <c r="AX127" s="123">
        <f t="shared" si="103"/>
        <v>2071</v>
      </c>
      <c r="AY127" s="123">
        <f t="shared" si="103"/>
        <v>2072</v>
      </c>
      <c r="AZ127" s="123">
        <f t="shared" si="103"/>
        <v>2073</v>
      </c>
      <c r="BA127" s="123">
        <f t="shared" si="103"/>
        <v>2074</v>
      </c>
      <c r="BB127" s="123">
        <f t="shared" si="103"/>
        <v>2075</v>
      </c>
      <c r="BC127" s="123">
        <f t="shared" si="103"/>
        <v>2076</v>
      </c>
      <c r="BD127" s="123">
        <f t="shared" si="103"/>
        <v>2077</v>
      </c>
      <c r="BE127" s="123">
        <f t="shared" si="103"/>
        <v>2078</v>
      </c>
      <c r="BF127" s="123">
        <f t="shared" si="103"/>
        <v>2079</v>
      </c>
      <c r="BG127" s="123">
        <f t="shared" si="103"/>
        <v>2080</v>
      </c>
      <c r="BH127" s="123">
        <f t="shared" si="103"/>
        <v>2081</v>
      </c>
      <c r="BI127" s="123">
        <f t="shared" si="103"/>
        <v>2082</v>
      </c>
      <c r="BJ127" s="123">
        <f t="shared" si="103"/>
        <v>2083</v>
      </c>
      <c r="BK127" s="123">
        <f t="shared" si="103"/>
        <v>2084</v>
      </c>
      <c r="BL127" s="123">
        <f t="shared" si="103"/>
        <v>2085</v>
      </c>
      <c r="BM127" s="123">
        <f t="shared" si="103"/>
        <v>2086</v>
      </c>
      <c r="BN127" s="123">
        <f t="shared" si="103"/>
        <v>2087</v>
      </c>
      <c r="BO127" s="123">
        <f t="shared" si="103"/>
        <v>2088</v>
      </c>
      <c r="BP127" s="123">
        <f t="shared" ref="BP127:CX128" si="104">BO127+1</f>
        <v>2089</v>
      </c>
      <c r="BQ127" s="123">
        <f t="shared" si="104"/>
        <v>2090</v>
      </c>
      <c r="BR127" s="123">
        <f t="shared" si="104"/>
        <v>2091</v>
      </c>
      <c r="BS127" s="123">
        <f t="shared" si="104"/>
        <v>2092</v>
      </c>
      <c r="BT127" s="123">
        <f t="shared" si="104"/>
        <v>2093</v>
      </c>
      <c r="BU127" s="123">
        <f t="shared" si="104"/>
        <v>2094</v>
      </c>
      <c r="BV127" s="123">
        <f t="shared" si="104"/>
        <v>2095</v>
      </c>
      <c r="BW127" s="123">
        <f t="shared" si="104"/>
        <v>2096</v>
      </c>
      <c r="BX127" s="123">
        <f t="shared" si="104"/>
        <v>2097</v>
      </c>
      <c r="BY127" s="123">
        <f t="shared" si="104"/>
        <v>2098</v>
      </c>
      <c r="BZ127" s="123">
        <f t="shared" si="104"/>
        <v>2099</v>
      </c>
      <c r="CA127" s="123">
        <f t="shared" si="104"/>
        <v>2100</v>
      </c>
      <c r="CB127" s="123">
        <f t="shared" si="104"/>
        <v>2101</v>
      </c>
      <c r="CC127" s="123">
        <f t="shared" si="104"/>
        <v>2102</v>
      </c>
      <c r="CD127" s="123">
        <f t="shared" si="104"/>
        <v>2103</v>
      </c>
      <c r="CE127" s="123">
        <f t="shared" si="104"/>
        <v>2104</v>
      </c>
      <c r="CF127" s="123">
        <f t="shared" si="104"/>
        <v>2105</v>
      </c>
      <c r="CG127" s="123">
        <f t="shared" si="104"/>
        <v>2106</v>
      </c>
      <c r="CH127" s="123">
        <f t="shared" si="104"/>
        <v>2107</v>
      </c>
      <c r="CI127" s="123">
        <f t="shared" si="104"/>
        <v>2108</v>
      </c>
      <c r="CJ127" s="123">
        <f t="shared" si="104"/>
        <v>2109</v>
      </c>
      <c r="CK127" s="123">
        <f t="shared" si="104"/>
        <v>2110</v>
      </c>
      <c r="CL127" s="123">
        <f t="shared" si="104"/>
        <v>2111</v>
      </c>
      <c r="CM127" s="123">
        <f t="shared" si="104"/>
        <v>2112</v>
      </c>
      <c r="CN127" s="123">
        <f t="shared" si="104"/>
        <v>2113</v>
      </c>
      <c r="CO127" s="123">
        <f t="shared" si="104"/>
        <v>2114</v>
      </c>
      <c r="CP127" s="123">
        <f t="shared" si="104"/>
        <v>2115</v>
      </c>
      <c r="CQ127" s="123">
        <f t="shared" si="104"/>
        <v>2116</v>
      </c>
      <c r="CR127" s="123">
        <f t="shared" si="104"/>
        <v>2117</v>
      </c>
      <c r="CS127" s="123">
        <f t="shared" si="104"/>
        <v>2118</v>
      </c>
      <c r="CT127" s="123">
        <f t="shared" si="104"/>
        <v>2119</v>
      </c>
      <c r="CU127" s="123">
        <f t="shared" si="104"/>
        <v>2120</v>
      </c>
      <c r="CV127" s="123">
        <f t="shared" si="104"/>
        <v>2121</v>
      </c>
      <c r="CW127" s="123">
        <f t="shared" si="104"/>
        <v>2122</v>
      </c>
      <c r="CX127" s="156">
        <f t="shared" si="104"/>
        <v>2123</v>
      </c>
    </row>
    <row r="128" spans="1:102" ht="20" customHeight="1">
      <c r="A128" s="109"/>
      <c r="B128" s="157" t="s">
        <v>148</v>
      </c>
      <c r="C128" s="158">
        <v>1</v>
      </c>
      <c r="D128" s="158">
        <f t="shared" si="103"/>
        <v>2</v>
      </c>
      <c r="E128" s="158">
        <f t="shared" si="103"/>
        <v>3</v>
      </c>
      <c r="F128" s="158">
        <f t="shared" si="103"/>
        <v>4</v>
      </c>
      <c r="G128" s="158">
        <f t="shared" si="103"/>
        <v>5</v>
      </c>
      <c r="H128" s="158">
        <f t="shared" si="103"/>
        <v>6</v>
      </c>
      <c r="I128" s="158">
        <f t="shared" si="103"/>
        <v>7</v>
      </c>
      <c r="J128" s="158">
        <f t="shared" si="103"/>
        <v>8</v>
      </c>
      <c r="K128" s="158">
        <f t="shared" si="103"/>
        <v>9</v>
      </c>
      <c r="L128" s="158">
        <f t="shared" si="103"/>
        <v>10</v>
      </c>
      <c r="M128" s="158">
        <f t="shared" si="103"/>
        <v>11</v>
      </c>
      <c r="N128" s="158">
        <f t="shared" si="103"/>
        <v>12</v>
      </c>
      <c r="O128" s="158">
        <f t="shared" si="103"/>
        <v>13</v>
      </c>
      <c r="P128" s="158">
        <f t="shared" si="103"/>
        <v>14</v>
      </c>
      <c r="Q128" s="158">
        <f t="shared" si="103"/>
        <v>15</v>
      </c>
      <c r="R128" s="158">
        <f t="shared" si="103"/>
        <v>16</v>
      </c>
      <c r="S128" s="158">
        <f t="shared" si="103"/>
        <v>17</v>
      </c>
      <c r="T128" s="158">
        <f t="shared" si="103"/>
        <v>18</v>
      </c>
      <c r="U128" s="158">
        <f t="shared" si="103"/>
        <v>19</v>
      </c>
      <c r="V128" s="158">
        <f t="shared" si="103"/>
        <v>20</v>
      </c>
      <c r="W128" s="158">
        <f t="shared" si="103"/>
        <v>21</v>
      </c>
      <c r="X128" s="158">
        <f t="shared" si="103"/>
        <v>22</v>
      </c>
      <c r="Y128" s="158">
        <f t="shared" si="103"/>
        <v>23</v>
      </c>
      <c r="Z128" s="158">
        <f t="shared" si="103"/>
        <v>24</v>
      </c>
      <c r="AA128" s="158">
        <f t="shared" si="103"/>
        <v>25</v>
      </c>
      <c r="AB128" s="158">
        <f t="shared" si="103"/>
        <v>26</v>
      </c>
      <c r="AC128" s="158">
        <f t="shared" si="103"/>
        <v>27</v>
      </c>
      <c r="AD128" s="158">
        <f t="shared" si="103"/>
        <v>28</v>
      </c>
      <c r="AE128" s="158">
        <f t="shared" si="103"/>
        <v>29</v>
      </c>
      <c r="AF128" s="158">
        <f t="shared" si="103"/>
        <v>30</v>
      </c>
      <c r="AG128" s="158">
        <f t="shared" si="103"/>
        <v>31</v>
      </c>
      <c r="AH128" s="158">
        <f t="shared" si="103"/>
        <v>32</v>
      </c>
      <c r="AI128" s="158">
        <f t="shared" si="103"/>
        <v>33</v>
      </c>
      <c r="AJ128" s="158">
        <f t="shared" si="103"/>
        <v>34</v>
      </c>
      <c r="AK128" s="158">
        <f t="shared" si="103"/>
        <v>35</v>
      </c>
      <c r="AL128" s="158">
        <f t="shared" si="103"/>
        <v>36</v>
      </c>
      <c r="AM128" s="158">
        <f t="shared" si="103"/>
        <v>37</v>
      </c>
      <c r="AN128" s="158">
        <f t="shared" si="103"/>
        <v>38</v>
      </c>
      <c r="AO128" s="158">
        <f t="shared" si="103"/>
        <v>39</v>
      </c>
      <c r="AP128" s="158">
        <f t="shared" si="103"/>
        <v>40</v>
      </c>
      <c r="AQ128" s="158">
        <f t="shared" si="103"/>
        <v>41</v>
      </c>
      <c r="AR128" s="158">
        <f t="shared" si="103"/>
        <v>42</v>
      </c>
      <c r="AS128" s="158">
        <f t="shared" si="103"/>
        <v>43</v>
      </c>
      <c r="AT128" s="158">
        <f t="shared" si="103"/>
        <v>44</v>
      </c>
      <c r="AU128" s="158">
        <f t="shared" si="103"/>
        <v>45</v>
      </c>
      <c r="AV128" s="158">
        <f t="shared" si="103"/>
        <v>46</v>
      </c>
      <c r="AW128" s="158">
        <f t="shared" si="103"/>
        <v>47</v>
      </c>
      <c r="AX128" s="158">
        <f t="shared" si="103"/>
        <v>48</v>
      </c>
      <c r="AY128" s="158">
        <f t="shared" si="103"/>
        <v>49</v>
      </c>
      <c r="AZ128" s="158">
        <f t="shared" si="103"/>
        <v>50</v>
      </c>
      <c r="BA128" s="158">
        <f t="shared" si="103"/>
        <v>51</v>
      </c>
      <c r="BB128" s="158">
        <f t="shared" si="103"/>
        <v>52</v>
      </c>
      <c r="BC128" s="158">
        <f t="shared" si="103"/>
        <v>53</v>
      </c>
      <c r="BD128" s="158">
        <f t="shared" si="103"/>
        <v>54</v>
      </c>
      <c r="BE128" s="158">
        <f t="shared" si="103"/>
        <v>55</v>
      </c>
      <c r="BF128" s="158">
        <f t="shared" si="103"/>
        <v>56</v>
      </c>
      <c r="BG128" s="158">
        <f t="shared" si="103"/>
        <v>57</v>
      </c>
      <c r="BH128" s="158">
        <f t="shared" si="103"/>
        <v>58</v>
      </c>
      <c r="BI128" s="158">
        <f t="shared" si="103"/>
        <v>59</v>
      </c>
      <c r="BJ128" s="158">
        <f t="shared" si="103"/>
        <v>60</v>
      </c>
      <c r="BK128" s="158">
        <f t="shared" si="103"/>
        <v>61</v>
      </c>
      <c r="BL128" s="158">
        <f t="shared" si="103"/>
        <v>62</v>
      </c>
      <c r="BM128" s="158">
        <f t="shared" si="103"/>
        <v>63</v>
      </c>
      <c r="BN128" s="158">
        <f t="shared" si="103"/>
        <v>64</v>
      </c>
      <c r="BO128" s="158">
        <f t="shared" si="103"/>
        <v>65</v>
      </c>
      <c r="BP128" s="158">
        <f t="shared" si="104"/>
        <v>66</v>
      </c>
      <c r="BQ128" s="158">
        <f t="shared" si="104"/>
        <v>67</v>
      </c>
      <c r="BR128" s="158">
        <f t="shared" si="104"/>
        <v>68</v>
      </c>
      <c r="BS128" s="158">
        <f t="shared" si="104"/>
        <v>69</v>
      </c>
      <c r="BT128" s="158">
        <f t="shared" si="104"/>
        <v>70</v>
      </c>
      <c r="BU128" s="158">
        <f t="shared" si="104"/>
        <v>71</v>
      </c>
      <c r="BV128" s="158">
        <f t="shared" si="104"/>
        <v>72</v>
      </c>
      <c r="BW128" s="158">
        <f t="shared" si="104"/>
        <v>73</v>
      </c>
      <c r="BX128" s="158">
        <f t="shared" si="104"/>
        <v>74</v>
      </c>
      <c r="BY128" s="158">
        <f t="shared" si="104"/>
        <v>75</v>
      </c>
      <c r="BZ128" s="158">
        <f t="shared" si="104"/>
        <v>76</v>
      </c>
      <c r="CA128" s="158">
        <f t="shared" si="104"/>
        <v>77</v>
      </c>
      <c r="CB128" s="158">
        <f t="shared" si="104"/>
        <v>78</v>
      </c>
      <c r="CC128" s="158">
        <f t="shared" si="104"/>
        <v>79</v>
      </c>
      <c r="CD128" s="158">
        <f t="shared" si="104"/>
        <v>80</v>
      </c>
      <c r="CE128" s="158">
        <f t="shared" si="104"/>
        <v>81</v>
      </c>
      <c r="CF128" s="158">
        <f t="shared" si="104"/>
        <v>82</v>
      </c>
      <c r="CG128" s="158">
        <f t="shared" si="104"/>
        <v>83</v>
      </c>
      <c r="CH128" s="158">
        <f t="shared" si="104"/>
        <v>84</v>
      </c>
      <c r="CI128" s="158">
        <f t="shared" si="104"/>
        <v>85</v>
      </c>
      <c r="CJ128" s="158">
        <f t="shared" si="104"/>
        <v>86</v>
      </c>
      <c r="CK128" s="158">
        <f t="shared" si="104"/>
        <v>87</v>
      </c>
      <c r="CL128" s="158">
        <f t="shared" si="104"/>
        <v>88</v>
      </c>
      <c r="CM128" s="158">
        <f t="shared" si="104"/>
        <v>89</v>
      </c>
      <c r="CN128" s="158">
        <f t="shared" si="104"/>
        <v>90</v>
      </c>
      <c r="CO128" s="158">
        <f t="shared" si="104"/>
        <v>91</v>
      </c>
      <c r="CP128" s="158">
        <f t="shared" si="104"/>
        <v>92</v>
      </c>
      <c r="CQ128" s="158">
        <f t="shared" si="104"/>
        <v>93</v>
      </c>
      <c r="CR128" s="158">
        <f t="shared" si="104"/>
        <v>94</v>
      </c>
      <c r="CS128" s="158">
        <f t="shared" si="104"/>
        <v>95</v>
      </c>
      <c r="CT128" s="158">
        <f t="shared" si="104"/>
        <v>96</v>
      </c>
      <c r="CU128" s="158">
        <f t="shared" si="104"/>
        <v>97</v>
      </c>
      <c r="CV128" s="158">
        <f t="shared" si="104"/>
        <v>98</v>
      </c>
      <c r="CW128" s="158">
        <f t="shared" si="104"/>
        <v>99</v>
      </c>
      <c r="CX128" s="159">
        <f t="shared" si="104"/>
        <v>100</v>
      </c>
    </row>
    <row r="129" spans="1:102" ht="20" customHeight="1">
      <c r="A129" s="109"/>
    </row>
    <row r="130" spans="1:102" ht="20" customHeight="1">
      <c r="A130" s="170"/>
      <c r="B130" s="95" t="s">
        <v>157</v>
      </c>
      <c r="C130" s="185" t="str">
        <f t="shared" ref="C130:AH130" si="105">IF(AND(C84&gt;=$C$41,C84&lt;=$C$42),"Yes","no")</f>
        <v>no</v>
      </c>
      <c r="D130" s="185" t="str">
        <f t="shared" si="105"/>
        <v>no</v>
      </c>
      <c r="E130" s="185" t="str">
        <f t="shared" si="105"/>
        <v>Yes</v>
      </c>
      <c r="F130" s="185" t="str">
        <f t="shared" si="105"/>
        <v>Yes</v>
      </c>
      <c r="G130" s="185" t="str">
        <f t="shared" si="105"/>
        <v>Yes</v>
      </c>
      <c r="H130" s="185" t="str">
        <f t="shared" si="105"/>
        <v>Yes</v>
      </c>
      <c r="I130" s="185" t="str">
        <f t="shared" si="105"/>
        <v>Yes</v>
      </c>
      <c r="J130" s="185" t="str">
        <f t="shared" si="105"/>
        <v>Yes</v>
      </c>
      <c r="K130" s="185" t="str">
        <f t="shared" si="105"/>
        <v>Yes</v>
      </c>
      <c r="L130" s="185" t="str">
        <f t="shared" si="105"/>
        <v>Yes</v>
      </c>
      <c r="M130" s="185" t="str">
        <f t="shared" si="105"/>
        <v>Yes</v>
      </c>
      <c r="N130" s="185" t="str">
        <f t="shared" si="105"/>
        <v>Yes</v>
      </c>
      <c r="O130" s="185" t="str">
        <f t="shared" si="105"/>
        <v>Yes</v>
      </c>
      <c r="P130" s="185" t="str">
        <f t="shared" si="105"/>
        <v>Yes</v>
      </c>
      <c r="Q130" s="185" t="str">
        <f t="shared" si="105"/>
        <v>Yes</v>
      </c>
      <c r="R130" s="185" t="str">
        <f t="shared" si="105"/>
        <v>Yes</v>
      </c>
      <c r="S130" s="185" t="str">
        <f t="shared" si="105"/>
        <v>Yes</v>
      </c>
      <c r="T130" s="185" t="str">
        <f t="shared" si="105"/>
        <v>Yes</v>
      </c>
      <c r="U130" s="185" t="str">
        <f t="shared" si="105"/>
        <v>Yes</v>
      </c>
      <c r="V130" s="185" t="str">
        <f t="shared" si="105"/>
        <v>Yes</v>
      </c>
      <c r="W130" s="185" t="str">
        <f t="shared" si="105"/>
        <v>Yes</v>
      </c>
      <c r="X130" s="185" t="str">
        <f t="shared" si="105"/>
        <v>Yes</v>
      </c>
      <c r="Y130" s="185" t="str">
        <f t="shared" si="105"/>
        <v>Yes</v>
      </c>
      <c r="Z130" s="185" t="str">
        <f t="shared" si="105"/>
        <v>Yes</v>
      </c>
      <c r="AA130" s="185" t="str">
        <f t="shared" si="105"/>
        <v>Yes</v>
      </c>
      <c r="AB130" s="185" t="str">
        <f t="shared" si="105"/>
        <v>Yes</v>
      </c>
      <c r="AC130" s="185" t="str">
        <f t="shared" si="105"/>
        <v>Yes</v>
      </c>
      <c r="AD130" s="185" t="str">
        <f t="shared" si="105"/>
        <v>Yes</v>
      </c>
      <c r="AE130" s="185" t="str">
        <f t="shared" si="105"/>
        <v>Yes</v>
      </c>
      <c r="AF130" s="185" t="str">
        <f t="shared" si="105"/>
        <v>Yes</v>
      </c>
      <c r="AG130" s="185" t="str">
        <f t="shared" si="105"/>
        <v>Yes</v>
      </c>
      <c r="AH130" s="185" t="str">
        <f t="shared" si="105"/>
        <v>Yes</v>
      </c>
      <c r="AI130" s="185" t="str">
        <f t="shared" ref="AI130:BN130" si="106">IF(AND(AI84&gt;=$C$41,AI84&lt;=$C$42),"Yes","no")</f>
        <v>no</v>
      </c>
      <c r="AJ130" s="185" t="str">
        <f t="shared" si="106"/>
        <v>no</v>
      </c>
      <c r="AK130" s="185" t="str">
        <f t="shared" si="106"/>
        <v>no</v>
      </c>
      <c r="AL130" s="185" t="str">
        <f t="shared" si="106"/>
        <v>no</v>
      </c>
      <c r="AM130" s="185" t="str">
        <f t="shared" si="106"/>
        <v>no</v>
      </c>
      <c r="AN130" s="185" t="str">
        <f t="shared" si="106"/>
        <v>no</v>
      </c>
      <c r="AO130" s="185" t="str">
        <f t="shared" si="106"/>
        <v>no</v>
      </c>
      <c r="AP130" s="185" t="str">
        <f t="shared" si="106"/>
        <v>no</v>
      </c>
      <c r="AQ130" s="185" t="str">
        <f t="shared" si="106"/>
        <v>no</v>
      </c>
      <c r="AR130" s="185" t="str">
        <f t="shared" si="106"/>
        <v>no</v>
      </c>
      <c r="AS130" s="185" t="str">
        <f t="shared" si="106"/>
        <v>no</v>
      </c>
      <c r="AT130" s="185" t="str">
        <f t="shared" si="106"/>
        <v>no</v>
      </c>
      <c r="AU130" s="185" t="str">
        <f t="shared" si="106"/>
        <v>no</v>
      </c>
      <c r="AV130" s="185" t="str">
        <f t="shared" si="106"/>
        <v>no</v>
      </c>
      <c r="AW130" s="185" t="str">
        <f t="shared" si="106"/>
        <v>no</v>
      </c>
      <c r="AX130" s="185" t="str">
        <f t="shared" si="106"/>
        <v>no</v>
      </c>
      <c r="AY130" s="185" t="str">
        <f t="shared" si="106"/>
        <v>no</v>
      </c>
      <c r="AZ130" s="185" t="str">
        <f t="shared" si="106"/>
        <v>no</v>
      </c>
      <c r="BA130" s="185" t="str">
        <f t="shared" si="106"/>
        <v>no</v>
      </c>
      <c r="BB130" s="185" t="str">
        <f t="shared" si="106"/>
        <v>no</v>
      </c>
      <c r="BC130" s="185" t="str">
        <f t="shared" si="106"/>
        <v>no</v>
      </c>
      <c r="BD130" s="185" t="str">
        <f t="shared" si="106"/>
        <v>no</v>
      </c>
      <c r="BE130" s="185" t="str">
        <f t="shared" si="106"/>
        <v>no</v>
      </c>
      <c r="BF130" s="185" t="str">
        <f t="shared" si="106"/>
        <v>no</v>
      </c>
      <c r="BG130" s="185" t="str">
        <f t="shared" si="106"/>
        <v>no</v>
      </c>
      <c r="BH130" s="185" t="str">
        <f t="shared" si="106"/>
        <v>no</v>
      </c>
      <c r="BI130" s="185" t="str">
        <f t="shared" si="106"/>
        <v>no</v>
      </c>
      <c r="BJ130" s="185" t="str">
        <f t="shared" si="106"/>
        <v>no</v>
      </c>
      <c r="BK130" s="185" t="str">
        <f t="shared" si="106"/>
        <v>no</v>
      </c>
      <c r="BL130" s="185" t="str">
        <f t="shared" si="106"/>
        <v>no</v>
      </c>
      <c r="BM130" s="185" t="str">
        <f t="shared" si="106"/>
        <v>no</v>
      </c>
      <c r="BN130" s="185" t="str">
        <f t="shared" si="106"/>
        <v>no</v>
      </c>
      <c r="BO130" s="185" t="str">
        <f t="shared" ref="BO130:CX130" si="107">IF(AND(BO84&gt;=$C$41,BO84&lt;=$C$42),"Yes","no")</f>
        <v>no</v>
      </c>
      <c r="BP130" s="185" t="str">
        <f t="shared" si="107"/>
        <v>no</v>
      </c>
      <c r="BQ130" s="185" t="str">
        <f t="shared" si="107"/>
        <v>no</v>
      </c>
      <c r="BR130" s="185" t="str">
        <f t="shared" si="107"/>
        <v>no</v>
      </c>
      <c r="BS130" s="185" t="str">
        <f t="shared" si="107"/>
        <v>no</v>
      </c>
      <c r="BT130" s="185" t="str">
        <f t="shared" si="107"/>
        <v>no</v>
      </c>
      <c r="BU130" s="185" t="str">
        <f t="shared" si="107"/>
        <v>no</v>
      </c>
      <c r="BV130" s="185" t="str">
        <f t="shared" si="107"/>
        <v>no</v>
      </c>
      <c r="BW130" s="185" t="str">
        <f t="shared" si="107"/>
        <v>no</v>
      </c>
      <c r="BX130" s="185" t="str">
        <f t="shared" si="107"/>
        <v>no</v>
      </c>
      <c r="BY130" s="185" t="str">
        <f t="shared" si="107"/>
        <v>no</v>
      </c>
      <c r="BZ130" s="185" t="str">
        <f t="shared" si="107"/>
        <v>no</v>
      </c>
      <c r="CA130" s="185" t="str">
        <f t="shared" si="107"/>
        <v>no</v>
      </c>
      <c r="CB130" s="185" t="str">
        <f t="shared" si="107"/>
        <v>no</v>
      </c>
      <c r="CC130" s="185" t="str">
        <f t="shared" si="107"/>
        <v>no</v>
      </c>
      <c r="CD130" s="185" t="str">
        <f t="shared" si="107"/>
        <v>no</v>
      </c>
      <c r="CE130" s="185" t="str">
        <f t="shared" si="107"/>
        <v>no</v>
      </c>
      <c r="CF130" s="185" t="str">
        <f t="shared" si="107"/>
        <v>no</v>
      </c>
      <c r="CG130" s="185" t="str">
        <f t="shared" si="107"/>
        <v>no</v>
      </c>
      <c r="CH130" s="185" t="str">
        <f t="shared" si="107"/>
        <v>no</v>
      </c>
      <c r="CI130" s="185" t="str">
        <f t="shared" si="107"/>
        <v>no</v>
      </c>
      <c r="CJ130" s="185" t="str">
        <f t="shared" si="107"/>
        <v>no</v>
      </c>
      <c r="CK130" s="185" t="str">
        <f t="shared" si="107"/>
        <v>no</v>
      </c>
      <c r="CL130" s="185" t="str">
        <f t="shared" si="107"/>
        <v>no</v>
      </c>
      <c r="CM130" s="185" t="str">
        <f t="shared" si="107"/>
        <v>no</v>
      </c>
      <c r="CN130" s="185" t="str">
        <f t="shared" si="107"/>
        <v>no</v>
      </c>
      <c r="CO130" s="185" t="str">
        <f t="shared" si="107"/>
        <v>no</v>
      </c>
      <c r="CP130" s="185" t="str">
        <f t="shared" si="107"/>
        <v>no</v>
      </c>
      <c r="CQ130" s="185" t="str">
        <f t="shared" si="107"/>
        <v>no</v>
      </c>
      <c r="CR130" s="185" t="str">
        <f t="shared" si="107"/>
        <v>no</v>
      </c>
      <c r="CS130" s="185" t="str">
        <f t="shared" si="107"/>
        <v>no</v>
      </c>
      <c r="CT130" s="185" t="str">
        <f t="shared" si="107"/>
        <v>no</v>
      </c>
      <c r="CU130" s="185" t="str">
        <f t="shared" si="107"/>
        <v>no</v>
      </c>
      <c r="CV130" s="185" t="str">
        <f t="shared" si="107"/>
        <v>no</v>
      </c>
      <c r="CW130" s="185" t="str">
        <f t="shared" si="107"/>
        <v>no</v>
      </c>
      <c r="CX130" s="185" t="str">
        <f t="shared" si="107"/>
        <v>no</v>
      </c>
    </row>
    <row r="131" spans="1:102" ht="20" customHeight="1">
      <c r="A131" s="170"/>
      <c r="C131" s="185"/>
      <c r="D131" s="185"/>
      <c r="E131" s="185"/>
      <c r="F131" s="185"/>
      <c r="G131" s="185"/>
      <c r="H131" s="185"/>
      <c r="I131" s="185"/>
      <c r="J131" s="185"/>
      <c r="K131" s="185"/>
      <c r="L131" s="185"/>
      <c r="M131" s="185"/>
      <c r="N131" s="185"/>
      <c r="O131" s="185"/>
      <c r="P131" s="185"/>
      <c r="Q131" s="185"/>
      <c r="R131" s="185"/>
      <c r="S131" s="185"/>
      <c r="T131" s="185"/>
      <c r="U131" s="185"/>
      <c r="V131" s="185"/>
      <c r="W131" s="185"/>
      <c r="X131" s="185"/>
      <c r="Y131" s="185"/>
      <c r="Z131" s="185"/>
      <c r="AA131" s="185"/>
      <c r="AB131" s="185"/>
      <c r="AC131" s="185"/>
      <c r="AD131" s="185"/>
      <c r="AE131" s="185"/>
      <c r="AF131" s="185"/>
      <c r="AG131" s="185"/>
      <c r="AH131" s="185"/>
      <c r="AI131" s="185"/>
      <c r="AJ131" s="185"/>
      <c r="AK131" s="185"/>
      <c r="AL131" s="185"/>
      <c r="AM131" s="185"/>
      <c r="AN131" s="185"/>
      <c r="AO131" s="185"/>
      <c r="AP131" s="185"/>
      <c r="AQ131" s="185"/>
      <c r="AR131" s="185"/>
      <c r="AS131" s="185"/>
      <c r="AT131" s="185"/>
      <c r="AU131" s="185"/>
      <c r="AV131" s="185"/>
      <c r="AW131" s="185"/>
      <c r="AX131" s="185"/>
      <c r="AY131" s="185"/>
      <c r="AZ131" s="185"/>
      <c r="BA131" s="185"/>
      <c r="BB131" s="185"/>
      <c r="BC131" s="185"/>
      <c r="BD131" s="185"/>
      <c r="BE131" s="185"/>
      <c r="BF131" s="185"/>
      <c r="BG131" s="185"/>
      <c r="BH131" s="185"/>
      <c r="BI131" s="185"/>
      <c r="BJ131" s="185"/>
      <c r="BK131" s="185"/>
      <c r="BL131" s="185"/>
      <c r="BM131" s="185"/>
      <c r="BN131" s="185"/>
      <c r="BO131" s="185"/>
      <c r="BP131" s="185"/>
      <c r="BQ131" s="185"/>
      <c r="BR131" s="185"/>
      <c r="BS131" s="185"/>
      <c r="BT131" s="185"/>
      <c r="BU131" s="185"/>
      <c r="BV131" s="185"/>
      <c r="BW131" s="185"/>
      <c r="BX131" s="185"/>
      <c r="BY131" s="185"/>
      <c r="BZ131" s="185"/>
      <c r="CA131" s="185"/>
      <c r="CB131" s="185"/>
      <c r="CC131" s="185"/>
      <c r="CD131" s="185"/>
      <c r="CE131" s="185"/>
      <c r="CF131" s="185"/>
      <c r="CG131" s="185"/>
      <c r="CH131" s="185"/>
      <c r="CI131" s="185"/>
      <c r="CJ131" s="185"/>
      <c r="CK131" s="185"/>
      <c r="CL131" s="185"/>
      <c r="CM131" s="185"/>
      <c r="CN131" s="185"/>
      <c r="CO131" s="185"/>
      <c r="CP131" s="185"/>
      <c r="CQ131" s="185"/>
      <c r="CR131" s="185"/>
      <c r="CS131" s="185"/>
      <c r="CT131" s="185"/>
      <c r="CU131" s="185"/>
      <c r="CV131" s="185"/>
      <c r="CW131" s="185"/>
      <c r="CX131" s="185"/>
    </row>
    <row r="132" spans="1:102" ht="20" customHeight="1">
      <c r="A132" s="170">
        <f>SUM(C132:CX132)</f>
        <v>8676412.3102455381</v>
      </c>
      <c r="B132" s="95" t="s">
        <v>1007</v>
      </c>
      <c r="C132" s="186">
        <f>IF(C130="Yes",$C$47,0)</f>
        <v>0</v>
      </c>
      <c r="D132" s="186">
        <f t="shared" ref="D132:BO132" si="108">IF(D130="Yes",$C$47,0)</f>
        <v>0</v>
      </c>
      <c r="E132" s="186">
        <f t="shared" si="108"/>
        <v>289213.74367485143</v>
      </c>
      <c r="F132" s="186">
        <f>IF(F130="Yes",$C$47,0)</f>
        <v>289213.74367485143</v>
      </c>
      <c r="G132" s="186">
        <f t="shared" si="108"/>
        <v>289213.74367485143</v>
      </c>
      <c r="H132" s="186">
        <f t="shared" si="108"/>
        <v>289213.74367485143</v>
      </c>
      <c r="I132" s="186">
        <f t="shared" si="108"/>
        <v>289213.74367485143</v>
      </c>
      <c r="J132" s="186">
        <f t="shared" si="108"/>
        <v>289213.74367485143</v>
      </c>
      <c r="K132" s="186">
        <f t="shared" si="108"/>
        <v>289213.74367485143</v>
      </c>
      <c r="L132" s="186">
        <f t="shared" si="108"/>
        <v>289213.74367485143</v>
      </c>
      <c r="M132" s="186">
        <f t="shared" si="108"/>
        <v>289213.74367485143</v>
      </c>
      <c r="N132" s="186">
        <f t="shared" si="108"/>
        <v>289213.74367485143</v>
      </c>
      <c r="O132" s="186">
        <f t="shared" si="108"/>
        <v>289213.74367485143</v>
      </c>
      <c r="P132" s="186">
        <f t="shared" si="108"/>
        <v>289213.74367485143</v>
      </c>
      <c r="Q132" s="186">
        <f t="shared" si="108"/>
        <v>289213.74367485143</v>
      </c>
      <c r="R132" s="186">
        <f t="shared" si="108"/>
        <v>289213.74367485143</v>
      </c>
      <c r="S132" s="186">
        <f t="shared" si="108"/>
        <v>289213.74367485143</v>
      </c>
      <c r="T132" s="186">
        <f t="shared" si="108"/>
        <v>289213.74367485143</v>
      </c>
      <c r="U132" s="186">
        <f t="shared" si="108"/>
        <v>289213.74367485143</v>
      </c>
      <c r="V132" s="186">
        <f t="shared" si="108"/>
        <v>289213.74367485143</v>
      </c>
      <c r="W132" s="186">
        <f t="shared" si="108"/>
        <v>289213.74367485143</v>
      </c>
      <c r="X132" s="186">
        <f t="shared" si="108"/>
        <v>289213.74367485143</v>
      </c>
      <c r="Y132" s="186">
        <f t="shared" si="108"/>
        <v>289213.74367485143</v>
      </c>
      <c r="Z132" s="186">
        <f t="shared" si="108"/>
        <v>289213.74367485143</v>
      </c>
      <c r="AA132" s="186">
        <f t="shared" si="108"/>
        <v>289213.74367485143</v>
      </c>
      <c r="AB132" s="186">
        <f t="shared" si="108"/>
        <v>289213.74367485143</v>
      </c>
      <c r="AC132" s="186">
        <f t="shared" si="108"/>
        <v>289213.74367485143</v>
      </c>
      <c r="AD132" s="186">
        <f t="shared" si="108"/>
        <v>289213.74367485143</v>
      </c>
      <c r="AE132" s="186">
        <f t="shared" si="108"/>
        <v>289213.74367485143</v>
      </c>
      <c r="AF132" s="186">
        <f t="shared" si="108"/>
        <v>289213.74367485143</v>
      </c>
      <c r="AG132" s="186">
        <f t="shared" si="108"/>
        <v>289213.74367485143</v>
      </c>
      <c r="AH132" s="186">
        <f t="shared" si="108"/>
        <v>289213.74367485143</v>
      </c>
      <c r="AI132" s="186">
        <f t="shared" si="108"/>
        <v>0</v>
      </c>
      <c r="AJ132" s="186">
        <f t="shared" si="108"/>
        <v>0</v>
      </c>
      <c r="AK132" s="186">
        <f t="shared" si="108"/>
        <v>0</v>
      </c>
      <c r="AL132" s="186">
        <f t="shared" si="108"/>
        <v>0</v>
      </c>
      <c r="AM132" s="186">
        <f t="shared" si="108"/>
        <v>0</v>
      </c>
      <c r="AN132" s="186">
        <f t="shared" si="108"/>
        <v>0</v>
      </c>
      <c r="AO132" s="186">
        <f t="shared" si="108"/>
        <v>0</v>
      </c>
      <c r="AP132" s="186">
        <f t="shared" si="108"/>
        <v>0</v>
      </c>
      <c r="AQ132" s="186">
        <f t="shared" si="108"/>
        <v>0</v>
      </c>
      <c r="AR132" s="186">
        <f t="shared" si="108"/>
        <v>0</v>
      </c>
      <c r="AS132" s="186">
        <f t="shared" si="108"/>
        <v>0</v>
      </c>
      <c r="AT132" s="186">
        <f t="shared" si="108"/>
        <v>0</v>
      </c>
      <c r="AU132" s="186">
        <f t="shared" si="108"/>
        <v>0</v>
      </c>
      <c r="AV132" s="186">
        <f t="shared" si="108"/>
        <v>0</v>
      </c>
      <c r="AW132" s="186">
        <f t="shared" si="108"/>
        <v>0</v>
      </c>
      <c r="AX132" s="186">
        <f t="shared" si="108"/>
        <v>0</v>
      </c>
      <c r="AY132" s="186">
        <f t="shared" si="108"/>
        <v>0</v>
      </c>
      <c r="AZ132" s="186">
        <f t="shared" si="108"/>
        <v>0</v>
      </c>
      <c r="BA132" s="186">
        <f t="shared" si="108"/>
        <v>0</v>
      </c>
      <c r="BB132" s="186">
        <f t="shared" si="108"/>
        <v>0</v>
      </c>
      <c r="BC132" s="186">
        <f t="shared" si="108"/>
        <v>0</v>
      </c>
      <c r="BD132" s="186">
        <f t="shared" si="108"/>
        <v>0</v>
      </c>
      <c r="BE132" s="186">
        <f t="shared" si="108"/>
        <v>0</v>
      </c>
      <c r="BF132" s="186">
        <f t="shared" si="108"/>
        <v>0</v>
      </c>
      <c r="BG132" s="186">
        <f t="shared" si="108"/>
        <v>0</v>
      </c>
      <c r="BH132" s="186">
        <f t="shared" si="108"/>
        <v>0</v>
      </c>
      <c r="BI132" s="186">
        <f t="shared" si="108"/>
        <v>0</v>
      </c>
      <c r="BJ132" s="186">
        <f t="shared" si="108"/>
        <v>0</v>
      </c>
      <c r="BK132" s="186">
        <f t="shared" si="108"/>
        <v>0</v>
      </c>
      <c r="BL132" s="186">
        <f t="shared" si="108"/>
        <v>0</v>
      </c>
      <c r="BM132" s="186">
        <f t="shared" si="108"/>
        <v>0</v>
      </c>
      <c r="BN132" s="186">
        <f t="shared" si="108"/>
        <v>0</v>
      </c>
      <c r="BO132" s="186">
        <f t="shared" si="108"/>
        <v>0</v>
      </c>
      <c r="BP132" s="186">
        <f t="shared" ref="BP132:CX132" si="109">IF(BP130="Yes",$C$47,0)</f>
        <v>0</v>
      </c>
      <c r="BQ132" s="186">
        <f t="shared" si="109"/>
        <v>0</v>
      </c>
      <c r="BR132" s="186">
        <f t="shared" si="109"/>
        <v>0</v>
      </c>
      <c r="BS132" s="186">
        <f t="shared" si="109"/>
        <v>0</v>
      </c>
      <c r="BT132" s="186">
        <f t="shared" si="109"/>
        <v>0</v>
      </c>
      <c r="BU132" s="186">
        <f t="shared" si="109"/>
        <v>0</v>
      </c>
      <c r="BV132" s="186">
        <f t="shared" si="109"/>
        <v>0</v>
      </c>
      <c r="BW132" s="186">
        <f t="shared" si="109"/>
        <v>0</v>
      </c>
      <c r="BX132" s="186">
        <f t="shared" si="109"/>
        <v>0</v>
      </c>
      <c r="BY132" s="186">
        <f t="shared" si="109"/>
        <v>0</v>
      </c>
      <c r="BZ132" s="186">
        <f t="shared" si="109"/>
        <v>0</v>
      </c>
      <c r="CA132" s="186">
        <f t="shared" si="109"/>
        <v>0</v>
      </c>
      <c r="CB132" s="186">
        <f t="shared" si="109"/>
        <v>0</v>
      </c>
      <c r="CC132" s="186">
        <f t="shared" si="109"/>
        <v>0</v>
      </c>
      <c r="CD132" s="186">
        <f t="shared" si="109"/>
        <v>0</v>
      </c>
      <c r="CE132" s="186">
        <f t="shared" si="109"/>
        <v>0</v>
      </c>
      <c r="CF132" s="186">
        <f t="shared" si="109"/>
        <v>0</v>
      </c>
      <c r="CG132" s="186">
        <f t="shared" si="109"/>
        <v>0</v>
      </c>
      <c r="CH132" s="186">
        <f t="shared" si="109"/>
        <v>0</v>
      </c>
      <c r="CI132" s="186">
        <f t="shared" si="109"/>
        <v>0</v>
      </c>
      <c r="CJ132" s="186">
        <f t="shared" si="109"/>
        <v>0</v>
      </c>
      <c r="CK132" s="186">
        <f t="shared" si="109"/>
        <v>0</v>
      </c>
      <c r="CL132" s="186">
        <f t="shared" si="109"/>
        <v>0</v>
      </c>
      <c r="CM132" s="186">
        <f t="shared" si="109"/>
        <v>0</v>
      </c>
      <c r="CN132" s="186">
        <f t="shared" si="109"/>
        <v>0</v>
      </c>
      <c r="CO132" s="186">
        <f t="shared" si="109"/>
        <v>0</v>
      </c>
      <c r="CP132" s="186">
        <f t="shared" si="109"/>
        <v>0</v>
      </c>
      <c r="CQ132" s="186">
        <f t="shared" si="109"/>
        <v>0</v>
      </c>
      <c r="CR132" s="186">
        <f t="shared" si="109"/>
        <v>0</v>
      </c>
      <c r="CS132" s="186">
        <f t="shared" si="109"/>
        <v>0</v>
      </c>
      <c r="CT132" s="186">
        <f t="shared" si="109"/>
        <v>0</v>
      </c>
      <c r="CU132" s="186">
        <f t="shared" si="109"/>
        <v>0</v>
      </c>
      <c r="CV132" s="186">
        <f t="shared" si="109"/>
        <v>0</v>
      </c>
      <c r="CW132" s="186">
        <f t="shared" si="109"/>
        <v>0</v>
      </c>
      <c r="CX132" s="186">
        <f t="shared" si="109"/>
        <v>0</v>
      </c>
    </row>
    <row r="133" spans="1:102" ht="20" customHeight="1">
      <c r="A133" s="170"/>
      <c r="C133" s="186"/>
      <c r="D133" s="186"/>
      <c r="E133" s="186"/>
      <c r="F133" s="186"/>
      <c r="G133" s="186"/>
      <c r="H133" s="186"/>
      <c r="I133" s="186"/>
      <c r="J133" s="186"/>
      <c r="K133" s="186"/>
      <c r="L133" s="186"/>
      <c r="M133" s="186"/>
      <c r="N133" s="186"/>
      <c r="O133" s="186"/>
      <c r="P133" s="186"/>
      <c r="Q133" s="186"/>
      <c r="R133" s="186"/>
      <c r="S133" s="186"/>
      <c r="T133" s="186"/>
      <c r="U133" s="186"/>
      <c r="V133" s="186"/>
      <c r="W133" s="186"/>
      <c r="X133" s="186"/>
      <c r="Y133" s="186"/>
      <c r="Z133" s="186"/>
      <c r="AA133" s="186"/>
      <c r="AB133" s="186"/>
      <c r="AC133" s="186"/>
      <c r="AD133" s="186"/>
      <c r="AE133" s="186"/>
      <c r="AF133" s="186"/>
      <c r="AG133" s="186"/>
      <c r="AH133" s="186"/>
      <c r="AI133" s="186"/>
      <c r="AJ133" s="186"/>
      <c r="AK133" s="186"/>
      <c r="AL133" s="186"/>
      <c r="AM133" s="186"/>
      <c r="AN133" s="186"/>
      <c r="AO133" s="186"/>
      <c r="AP133" s="186"/>
      <c r="AQ133" s="186"/>
      <c r="AR133" s="186"/>
      <c r="AS133" s="186"/>
      <c r="AT133" s="186"/>
      <c r="AU133" s="186"/>
      <c r="AV133" s="186"/>
      <c r="AW133" s="186"/>
      <c r="AX133" s="186"/>
      <c r="AY133" s="186"/>
      <c r="AZ133" s="186"/>
      <c r="BA133" s="186"/>
      <c r="BB133" s="186"/>
      <c r="BC133" s="186"/>
      <c r="BD133" s="186"/>
      <c r="BE133" s="186"/>
      <c r="BF133" s="186"/>
      <c r="BG133" s="186"/>
      <c r="BH133" s="186"/>
      <c r="BI133" s="186"/>
      <c r="BJ133" s="186"/>
      <c r="BK133" s="186"/>
      <c r="BL133" s="186"/>
      <c r="BM133" s="186"/>
      <c r="BN133" s="186"/>
      <c r="BO133" s="186"/>
      <c r="BP133" s="186"/>
      <c r="BQ133" s="186"/>
      <c r="BR133" s="186"/>
      <c r="BS133" s="186"/>
      <c r="BT133" s="186"/>
      <c r="BU133" s="186"/>
      <c r="BV133" s="186"/>
      <c r="BW133" s="186"/>
      <c r="BX133" s="186"/>
      <c r="BY133" s="186"/>
      <c r="BZ133" s="186"/>
      <c r="CA133" s="186"/>
      <c r="CB133" s="186"/>
      <c r="CC133" s="186"/>
      <c r="CD133" s="186"/>
      <c r="CE133" s="186"/>
      <c r="CF133" s="186"/>
      <c r="CG133" s="186"/>
      <c r="CH133" s="186"/>
      <c r="CI133" s="186"/>
      <c r="CJ133" s="186"/>
      <c r="CK133" s="186"/>
      <c r="CL133" s="186"/>
      <c r="CM133" s="186"/>
      <c r="CN133" s="186"/>
      <c r="CO133" s="186"/>
      <c r="CP133" s="186"/>
      <c r="CQ133" s="186"/>
      <c r="CR133" s="186"/>
      <c r="CS133" s="186"/>
      <c r="CT133" s="186"/>
      <c r="CU133" s="186"/>
      <c r="CV133" s="186"/>
      <c r="CW133" s="186"/>
      <c r="CX133" s="186"/>
    </row>
    <row r="134" spans="1:102" ht="20" customHeight="1">
      <c r="A134" s="170"/>
      <c r="B134" s="91" t="str">
        <f>"CO2 Price and Revenues from Transporting CO2 in Real "&amp;C37&amp;"$"</f>
        <v>CO2 Price and Revenues from Transporting CO2 in Real 2024$</v>
      </c>
      <c r="C134" s="185"/>
      <c r="D134" s="185"/>
      <c r="E134" s="185"/>
      <c r="F134" s="185"/>
      <c r="G134" s="185"/>
      <c r="H134" s="185"/>
      <c r="I134" s="185"/>
      <c r="J134" s="185"/>
      <c r="K134" s="185"/>
      <c r="L134" s="185"/>
      <c r="M134" s="185"/>
      <c r="N134" s="185"/>
      <c r="O134" s="185"/>
      <c r="P134" s="185"/>
      <c r="Q134" s="185"/>
      <c r="R134" s="185"/>
      <c r="S134" s="185"/>
      <c r="T134" s="185"/>
      <c r="U134" s="185"/>
      <c r="V134" s="185"/>
      <c r="W134" s="185"/>
      <c r="X134" s="185"/>
      <c r="Y134" s="185"/>
      <c r="Z134" s="185"/>
      <c r="AA134" s="185"/>
      <c r="AB134" s="185"/>
      <c r="AC134" s="185"/>
      <c r="AD134" s="185"/>
      <c r="AE134" s="185"/>
      <c r="AF134" s="185"/>
      <c r="AG134" s="185"/>
      <c r="AH134" s="185"/>
      <c r="AI134" s="185"/>
      <c r="AJ134" s="185"/>
      <c r="AK134" s="185"/>
      <c r="AL134" s="185"/>
      <c r="AM134" s="185"/>
      <c r="AN134" s="185"/>
      <c r="AO134" s="185"/>
      <c r="AP134" s="185"/>
      <c r="AQ134" s="185"/>
      <c r="AR134" s="185"/>
      <c r="AS134" s="185"/>
      <c r="AT134" s="185"/>
      <c r="AU134" s="185"/>
      <c r="AV134" s="185"/>
      <c r="AW134" s="185"/>
      <c r="AX134" s="185"/>
      <c r="AY134" s="185"/>
      <c r="AZ134" s="185"/>
      <c r="BA134" s="185"/>
      <c r="BB134" s="185"/>
      <c r="BC134" s="185"/>
      <c r="BD134" s="185"/>
      <c r="BE134" s="185"/>
      <c r="BF134" s="185"/>
      <c r="BG134" s="185"/>
      <c r="BH134" s="185"/>
      <c r="BI134" s="185"/>
      <c r="BJ134" s="185"/>
      <c r="BK134" s="185"/>
      <c r="BL134" s="185"/>
      <c r="BM134" s="185"/>
      <c r="BN134" s="185"/>
      <c r="BO134" s="185"/>
      <c r="BP134" s="185"/>
      <c r="BQ134" s="185"/>
      <c r="BR134" s="185"/>
      <c r="BS134" s="185"/>
      <c r="BT134" s="185"/>
      <c r="BU134" s="185"/>
      <c r="BV134" s="185"/>
      <c r="BW134" s="185"/>
      <c r="BX134" s="185"/>
      <c r="BY134" s="185"/>
      <c r="BZ134" s="185"/>
      <c r="CA134" s="185"/>
      <c r="CB134" s="185"/>
      <c r="CC134" s="185"/>
      <c r="CD134" s="185"/>
      <c r="CE134" s="185"/>
      <c r="CF134" s="185"/>
      <c r="CG134" s="185"/>
      <c r="CH134" s="185"/>
      <c r="CI134" s="185"/>
      <c r="CJ134" s="185"/>
      <c r="CK134" s="185"/>
      <c r="CL134" s="185"/>
      <c r="CM134" s="185"/>
      <c r="CN134" s="185"/>
      <c r="CO134" s="185"/>
      <c r="CP134" s="185"/>
      <c r="CQ134" s="185"/>
      <c r="CR134" s="185"/>
      <c r="CS134" s="185"/>
      <c r="CT134" s="185"/>
      <c r="CU134" s="185"/>
      <c r="CV134" s="185"/>
      <c r="CW134" s="185"/>
      <c r="CX134" s="185"/>
    </row>
    <row r="135" spans="1:102" ht="20" customHeight="1">
      <c r="A135" s="170"/>
      <c r="B135" s="97" t="str">
        <f>"CO2 Price in "&amp;C37&amp;"$/tonne"</f>
        <v>CO2 Price in 2024$/tonne</v>
      </c>
      <c r="C135" s="187">
        <f t="shared" ref="C135:AH135" si="110">IF(C132&gt;0,$C$5,0)</f>
        <v>0</v>
      </c>
      <c r="D135" s="187">
        <f t="shared" si="110"/>
        <v>0</v>
      </c>
      <c r="E135" s="187">
        <f t="shared" si="110"/>
        <v>54.675874365871778</v>
      </c>
      <c r="F135" s="187">
        <f>IF(F132&gt;0,$C$5,0)</f>
        <v>54.675874365871778</v>
      </c>
      <c r="G135" s="187">
        <f t="shared" si="110"/>
        <v>54.675874365871778</v>
      </c>
      <c r="H135" s="187">
        <f t="shared" si="110"/>
        <v>54.675874365871778</v>
      </c>
      <c r="I135" s="187">
        <f t="shared" si="110"/>
        <v>54.675874365871778</v>
      </c>
      <c r="J135" s="187">
        <f t="shared" si="110"/>
        <v>54.675874365871778</v>
      </c>
      <c r="K135" s="187">
        <f t="shared" si="110"/>
        <v>54.675874365871778</v>
      </c>
      <c r="L135" s="187">
        <f t="shared" si="110"/>
        <v>54.675874365871778</v>
      </c>
      <c r="M135" s="187">
        <f t="shared" si="110"/>
        <v>54.675874365871778</v>
      </c>
      <c r="N135" s="187">
        <f t="shared" si="110"/>
        <v>54.675874365871778</v>
      </c>
      <c r="O135" s="187">
        <f t="shared" si="110"/>
        <v>54.675874365871778</v>
      </c>
      <c r="P135" s="187">
        <f t="shared" si="110"/>
        <v>54.675874365871778</v>
      </c>
      <c r="Q135" s="187">
        <f t="shared" si="110"/>
        <v>54.675874365871778</v>
      </c>
      <c r="R135" s="187">
        <f t="shared" si="110"/>
        <v>54.675874365871778</v>
      </c>
      <c r="S135" s="187">
        <f t="shared" si="110"/>
        <v>54.675874365871778</v>
      </c>
      <c r="T135" s="187">
        <f t="shared" si="110"/>
        <v>54.675874365871778</v>
      </c>
      <c r="U135" s="187">
        <f t="shared" si="110"/>
        <v>54.675874365871778</v>
      </c>
      <c r="V135" s="187">
        <f t="shared" si="110"/>
        <v>54.675874365871778</v>
      </c>
      <c r="W135" s="187">
        <f t="shared" si="110"/>
        <v>54.675874365871778</v>
      </c>
      <c r="X135" s="187">
        <f t="shared" si="110"/>
        <v>54.675874365871778</v>
      </c>
      <c r="Y135" s="187">
        <f t="shared" si="110"/>
        <v>54.675874365871778</v>
      </c>
      <c r="Z135" s="187">
        <f t="shared" si="110"/>
        <v>54.675874365871778</v>
      </c>
      <c r="AA135" s="187">
        <f t="shared" si="110"/>
        <v>54.675874365871778</v>
      </c>
      <c r="AB135" s="187">
        <f t="shared" si="110"/>
        <v>54.675874365871778</v>
      </c>
      <c r="AC135" s="187">
        <f t="shared" si="110"/>
        <v>54.675874365871778</v>
      </c>
      <c r="AD135" s="187">
        <f t="shared" si="110"/>
        <v>54.675874365871778</v>
      </c>
      <c r="AE135" s="187">
        <f t="shared" si="110"/>
        <v>54.675874365871778</v>
      </c>
      <c r="AF135" s="187">
        <f t="shared" si="110"/>
        <v>54.675874365871778</v>
      </c>
      <c r="AG135" s="187">
        <f t="shared" si="110"/>
        <v>54.675874365871778</v>
      </c>
      <c r="AH135" s="187">
        <f t="shared" si="110"/>
        <v>54.675874365871778</v>
      </c>
      <c r="AI135" s="187">
        <f t="shared" ref="AI135:BN135" si="111">IF(AI132&gt;0,$C$5,0)</f>
        <v>0</v>
      </c>
      <c r="AJ135" s="187">
        <f t="shared" si="111"/>
        <v>0</v>
      </c>
      <c r="AK135" s="187">
        <f t="shared" si="111"/>
        <v>0</v>
      </c>
      <c r="AL135" s="187">
        <f t="shared" si="111"/>
        <v>0</v>
      </c>
      <c r="AM135" s="187">
        <f t="shared" si="111"/>
        <v>0</v>
      </c>
      <c r="AN135" s="187">
        <f t="shared" si="111"/>
        <v>0</v>
      </c>
      <c r="AO135" s="187">
        <f t="shared" si="111"/>
        <v>0</v>
      </c>
      <c r="AP135" s="187">
        <f t="shared" si="111"/>
        <v>0</v>
      </c>
      <c r="AQ135" s="187">
        <f t="shared" si="111"/>
        <v>0</v>
      </c>
      <c r="AR135" s="187">
        <f t="shared" si="111"/>
        <v>0</v>
      </c>
      <c r="AS135" s="187">
        <f t="shared" si="111"/>
        <v>0</v>
      </c>
      <c r="AT135" s="187">
        <f t="shared" si="111"/>
        <v>0</v>
      </c>
      <c r="AU135" s="187">
        <f t="shared" si="111"/>
        <v>0</v>
      </c>
      <c r="AV135" s="187">
        <f t="shared" si="111"/>
        <v>0</v>
      </c>
      <c r="AW135" s="187">
        <f t="shared" si="111"/>
        <v>0</v>
      </c>
      <c r="AX135" s="187">
        <f t="shared" si="111"/>
        <v>0</v>
      </c>
      <c r="AY135" s="187">
        <f t="shared" si="111"/>
        <v>0</v>
      </c>
      <c r="AZ135" s="187">
        <f t="shared" si="111"/>
        <v>0</v>
      </c>
      <c r="BA135" s="187">
        <f t="shared" si="111"/>
        <v>0</v>
      </c>
      <c r="BB135" s="187">
        <f t="shared" si="111"/>
        <v>0</v>
      </c>
      <c r="BC135" s="187">
        <f t="shared" si="111"/>
        <v>0</v>
      </c>
      <c r="BD135" s="187">
        <f t="shared" si="111"/>
        <v>0</v>
      </c>
      <c r="BE135" s="187">
        <f t="shared" si="111"/>
        <v>0</v>
      </c>
      <c r="BF135" s="187">
        <f t="shared" si="111"/>
        <v>0</v>
      </c>
      <c r="BG135" s="187">
        <f t="shared" si="111"/>
        <v>0</v>
      </c>
      <c r="BH135" s="187">
        <f t="shared" si="111"/>
        <v>0</v>
      </c>
      <c r="BI135" s="187">
        <f t="shared" si="111"/>
        <v>0</v>
      </c>
      <c r="BJ135" s="187">
        <f t="shared" si="111"/>
        <v>0</v>
      </c>
      <c r="BK135" s="187">
        <f t="shared" si="111"/>
        <v>0</v>
      </c>
      <c r="BL135" s="187">
        <f t="shared" si="111"/>
        <v>0</v>
      </c>
      <c r="BM135" s="187">
        <f t="shared" si="111"/>
        <v>0</v>
      </c>
      <c r="BN135" s="187">
        <f t="shared" si="111"/>
        <v>0</v>
      </c>
      <c r="BO135" s="187">
        <f t="shared" ref="BO135:CX135" si="112">IF(BO132&gt;0,$C$5,0)</f>
        <v>0</v>
      </c>
      <c r="BP135" s="187">
        <f t="shared" si="112"/>
        <v>0</v>
      </c>
      <c r="BQ135" s="187">
        <f t="shared" si="112"/>
        <v>0</v>
      </c>
      <c r="BR135" s="187">
        <f t="shared" si="112"/>
        <v>0</v>
      </c>
      <c r="BS135" s="187">
        <f t="shared" si="112"/>
        <v>0</v>
      </c>
      <c r="BT135" s="187">
        <f t="shared" si="112"/>
        <v>0</v>
      </c>
      <c r="BU135" s="187">
        <f t="shared" si="112"/>
        <v>0</v>
      </c>
      <c r="BV135" s="187">
        <f t="shared" si="112"/>
        <v>0</v>
      </c>
      <c r="BW135" s="187">
        <f t="shared" si="112"/>
        <v>0</v>
      </c>
      <c r="BX135" s="187">
        <f t="shared" si="112"/>
        <v>0</v>
      </c>
      <c r="BY135" s="187">
        <f t="shared" si="112"/>
        <v>0</v>
      </c>
      <c r="BZ135" s="187">
        <f t="shared" si="112"/>
        <v>0</v>
      </c>
      <c r="CA135" s="187">
        <f t="shared" si="112"/>
        <v>0</v>
      </c>
      <c r="CB135" s="187">
        <f t="shared" si="112"/>
        <v>0</v>
      </c>
      <c r="CC135" s="187">
        <f t="shared" si="112"/>
        <v>0</v>
      </c>
      <c r="CD135" s="187">
        <f t="shared" si="112"/>
        <v>0</v>
      </c>
      <c r="CE135" s="187">
        <f t="shared" si="112"/>
        <v>0</v>
      </c>
      <c r="CF135" s="187">
        <f t="shared" si="112"/>
        <v>0</v>
      </c>
      <c r="CG135" s="187">
        <f t="shared" si="112"/>
        <v>0</v>
      </c>
      <c r="CH135" s="187">
        <f t="shared" si="112"/>
        <v>0</v>
      </c>
      <c r="CI135" s="187">
        <f t="shared" si="112"/>
        <v>0</v>
      </c>
      <c r="CJ135" s="187">
        <f t="shared" si="112"/>
        <v>0</v>
      </c>
      <c r="CK135" s="187">
        <f t="shared" si="112"/>
        <v>0</v>
      </c>
      <c r="CL135" s="187">
        <f t="shared" si="112"/>
        <v>0</v>
      </c>
      <c r="CM135" s="187">
        <f t="shared" si="112"/>
        <v>0</v>
      </c>
      <c r="CN135" s="187">
        <f t="shared" si="112"/>
        <v>0</v>
      </c>
      <c r="CO135" s="187">
        <f t="shared" si="112"/>
        <v>0</v>
      </c>
      <c r="CP135" s="187">
        <f t="shared" si="112"/>
        <v>0</v>
      </c>
      <c r="CQ135" s="187">
        <f t="shared" si="112"/>
        <v>0</v>
      </c>
      <c r="CR135" s="187">
        <f t="shared" si="112"/>
        <v>0</v>
      </c>
      <c r="CS135" s="187">
        <f t="shared" si="112"/>
        <v>0</v>
      </c>
      <c r="CT135" s="187">
        <f t="shared" si="112"/>
        <v>0</v>
      </c>
      <c r="CU135" s="187">
        <f t="shared" si="112"/>
        <v>0</v>
      </c>
      <c r="CV135" s="187">
        <f t="shared" si="112"/>
        <v>0</v>
      </c>
      <c r="CW135" s="187">
        <f t="shared" si="112"/>
        <v>0</v>
      </c>
      <c r="CX135" s="187">
        <f t="shared" si="112"/>
        <v>0</v>
      </c>
    </row>
    <row r="136" spans="1:102" ht="20" customHeight="1">
      <c r="A136" s="170">
        <f>SUM(C136:CX136)</f>
        <v>474390429.4214884</v>
      </c>
      <c r="B136" s="97" t="str">
        <f>"Revenue from Transporting CO2 in Real "&amp;C37&amp;"$"</f>
        <v>Revenue from Transporting CO2 in Real 2024$</v>
      </c>
      <c r="C136" s="185">
        <f t="shared" ref="C136:AH136" si="113">(C132*C135)</f>
        <v>0</v>
      </c>
      <c r="D136" s="185">
        <f t="shared" si="113"/>
        <v>0</v>
      </c>
      <c r="E136" s="185">
        <f t="shared" si="113"/>
        <v>15813014.31404962</v>
      </c>
      <c r="F136" s="185">
        <f t="shared" si="113"/>
        <v>15813014.31404962</v>
      </c>
      <c r="G136" s="185">
        <f t="shared" si="113"/>
        <v>15813014.31404962</v>
      </c>
      <c r="H136" s="185">
        <f t="shared" si="113"/>
        <v>15813014.31404962</v>
      </c>
      <c r="I136" s="185">
        <f t="shared" si="113"/>
        <v>15813014.31404962</v>
      </c>
      <c r="J136" s="185">
        <f t="shared" si="113"/>
        <v>15813014.31404962</v>
      </c>
      <c r="K136" s="185">
        <f t="shared" si="113"/>
        <v>15813014.31404962</v>
      </c>
      <c r="L136" s="185">
        <f t="shared" si="113"/>
        <v>15813014.31404962</v>
      </c>
      <c r="M136" s="185">
        <f t="shared" si="113"/>
        <v>15813014.31404962</v>
      </c>
      <c r="N136" s="185">
        <f t="shared" si="113"/>
        <v>15813014.31404962</v>
      </c>
      <c r="O136" s="185">
        <f t="shared" si="113"/>
        <v>15813014.31404962</v>
      </c>
      <c r="P136" s="185">
        <f t="shared" si="113"/>
        <v>15813014.31404962</v>
      </c>
      <c r="Q136" s="185">
        <f t="shared" si="113"/>
        <v>15813014.31404962</v>
      </c>
      <c r="R136" s="185">
        <f t="shared" si="113"/>
        <v>15813014.31404962</v>
      </c>
      <c r="S136" s="185">
        <f t="shared" si="113"/>
        <v>15813014.31404962</v>
      </c>
      <c r="T136" s="185">
        <f t="shared" si="113"/>
        <v>15813014.31404962</v>
      </c>
      <c r="U136" s="185">
        <f t="shared" si="113"/>
        <v>15813014.31404962</v>
      </c>
      <c r="V136" s="185">
        <f t="shared" si="113"/>
        <v>15813014.31404962</v>
      </c>
      <c r="W136" s="185">
        <f t="shared" si="113"/>
        <v>15813014.31404962</v>
      </c>
      <c r="X136" s="185">
        <f t="shared" si="113"/>
        <v>15813014.31404962</v>
      </c>
      <c r="Y136" s="185">
        <f t="shared" si="113"/>
        <v>15813014.31404962</v>
      </c>
      <c r="Z136" s="185">
        <f t="shared" si="113"/>
        <v>15813014.31404962</v>
      </c>
      <c r="AA136" s="185">
        <f t="shared" si="113"/>
        <v>15813014.31404962</v>
      </c>
      <c r="AB136" s="185">
        <f t="shared" si="113"/>
        <v>15813014.31404962</v>
      </c>
      <c r="AC136" s="185">
        <f t="shared" si="113"/>
        <v>15813014.31404962</v>
      </c>
      <c r="AD136" s="185">
        <f t="shared" si="113"/>
        <v>15813014.31404962</v>
      </c>
      <c r="AE136" s="185">
        <f t="shared" si="113"/>
        <v>15813014.31404962</v>
      </c>
      <c r="AF136" s="185">
        <f t="shared" si="113"/>
        <v>15813014.31404962</v>
      </c>
      <c r="AG136" s="185">
        <f t="shared" si="113"/>
        <v>15813014.31404962</v>
      </c>
      <c r="AH136" s="185">
        <f t="shared" si="113"/>
        <v>15813014.31404962</v>
      </c>
      <c r="AI136" s="185">
        <f t="shared" ref="AI136:BN136" si="114">(AI132*AI135)</f>
        <v>0</v>
      </c>
      <c r="AJ136" s="185">
        <f t="shared" si="114"/>
        <v>0</v>
      </c>
      <c r="AK136" s="185">
        <f t="shared" si="114"/>
        <v>0</v>
      </c>
      <c r="AL136" s="185">
        <f t="shared" si="114"/>
        <v>0</v>
      </c>
      <c r="AM136" s="185">
        <f t="shared" si="114"/>
        <v>0</v>
      </c>
      <c r="AN136" s="185">
        <f t="shared" si="114"/>
        <v>0</v>
      </c>
      <c r="AO136" s="185">
        <f t="shared" si="114"/>
        <v>0</v>
      </c>
      <c r="AP136" s="185">
        <f t="shared" si="114"/>
        <v>0</v>
      </c>
      <c r="AQ136" s="185">
        <f t="shared" si="114"/>
        <v>0</v>
      </c>
      <c r="AR136" s="185">
        <f t="shared" si="114"/>
        <v>0</v>
      </c>
      <c r="AS136" s="185">
        <f t="shared" si="114"/>
        <v>0</v>
      </c>
      <c r="AT136" s="185">
        <f t="shared" si="114"/>
        <v>0</v>
      </c>
      <c r="AU136" s="185">
        <f t="shared" si="114"/>
        <v>0</v>
      </c>
      <c r="AV136" s="185">
        <f t="shared" si="114"/>
        <v>0</v>
      </c>
      <c r="AW136" s="185">
        <f t="shared" si="114"/>
        <v>0</v>
      </c>
      <c r="AX136" s="185">
        <f t="shared" si="114"/>
        <v>0</v>
      </c>
      <c r="AY136" s="185">
        <f t="shared" si="114"/>
        <v>0</v>
      </c>
      <c r="AZ136" s="185">
        <f t="shared" si="114"/>
        <v>0</v>
      </c>
      <c r="BA136" s="185">
        <f t="shared" si="114"/>
        <v>0</v>
      </c>
      <c r="BB136" s="185">
        <f t="shared" si="114"/>
        <v>0</v>
      </c>
      <c r="BC136" s="185">
        <f t="shared" si="114"/>
        <v>0</v>
      </c>
      <c r="BD136" s="185">
        <f t="shared" si="114"/>
        <v>0</v>
      </c>
      <c r="BE136" s="185">
        <f t="shared" si="114"/>
        <v>0</v>
      </c>
      <c r="BF136" s="185">
        <f t="shared" si="114"/>
        <v>0</v>
      </c>
      <c r="BG136" s="185">
        <f t="shared" si="114"/>
        <v>0</v>
      </c>
      <c r="BH136" s="185">
        <f t="shared" si="114"/>
        <v>0</v>
      </c>
      <c r="BI136" s="185">
        <f t="shared" si="114"/>
        <v>0</v>
      </c>
      <c r="BJ136" s="185">
        <f t="shared" si="114"/>
        <v>0</v>
      </c>
      <c r="BK136" s="185">
        <f t="shared" si="114"/>
        <v>0</v>
      </c>
      <c r="BL136" s="185">
        <f t="shared" si="114"/>
        <v>0</v>
      </c>
      <c r="BM136" s="185">
        <f t="shared" si="114"/>
        <v>0</v>
      </c>
      <c r="BN136" s="185">
        <f t="shared" si="114"/>
        <v>0</v>
      </c>
      <c r="BO136" s="185">
        <f t="shared" ref="BO136:CT136" si="115">(BO132*BO135)</f>
        <v>0</v>
      </c>
      <c r="BP136" s="185">
        <f t="shared" si="115"/>
        <v>0</v>
      </c>
      <c r="BQ136" s="185">
        <f t="shared" si="115"/>
        <v>0</v>
      </c>
      <c r="BR136" s="185">
        <f t="shared" si="115"/>
        <v>0</v>
      </c>
      <c r="BS136" s="185">
        <f t="shared" si="115"/>
        <v>0</v>
      </c>
      <c r="BT136" s="185">
        <f t="shared" si="115"/>
        <v>0</v>
      </c>
      <c r="BU136" s="185">
        <f t="shared" si="115"/>
        <v>0</v>
      </c>
      <c r="BV136" s="185">
        <f t="shared" si="115"/>
        <v>0</v>
      </c>
      <c r="BW136" s="185">
        <f t="shared" si="115"/>
        <v>0</v>
      </c>
      <c r="BX136" s="185">
        <f t="shared" si="115"/>
        <v>0</v>
      </c>
      <c r="BY136" s="185">
        <f t="shared" si="115"/>
        <v>0</v>
      </c>
      <c r="BZ136" s="185">
        <f t="shared" si="115"/>
        <v>0</v>
      </c>
      <c r="CA136" s="185">
        <f t="shared" si="115"/>
        <v>0</v>
      </c>
      <c r="CB136" s="185">
        <f t="shared" si="115"/>
        <v>0</v>
      </c>
      <c r="CC136" s="185">
        <f t="shared" si="115"/>
        <v>0</v>
      </c>
      <c r="CD136" s="185">
        <f t="shared" si="115"/>
        <v>0</v>
      </c>
      <c r="CE136" s="185">
        <f t="shared" si="115"/>
        <v>0</v>
      </c>
      <c r="CF136" s="185">
        <f t="shared" si="115"/>
        <v>0</v>
      </c>
      <c r="CG136" s="185">
        <f t="shared" si="115"/>
        <v>0</v>
      </c>
      <c r="CH136" s="185">
        <f t="shared" si="115"/>
        <v>0</v>
      </c>
      <c r="CI136" s="185">
        <f t="shared" si="115"/>
        <v>0</v>
      </c>
      <c r="CJ136" s="185">
        <f t="shared" si="115"/>
        <v>0</v>
      </c>
      <c r="CK136" s="185">
        <f t="shared" si="115"/>
        <v>0</v>
      </c>
      <c r="CL136" s="185">
        <f t="shared" si="115"/>
        <v>0</v>
      </c>
      <c r="CM136" s="185">
        <f t="shared" si="115"/>
        <v>0</v>
      </c>
      <c r="CN136" s="185">
        <f t="shared" si="115"/>
        <v>0</v>
      </c>
      <c r="CO136" s="185">
        <f t="shared" si="115"/>
        <v>0</v>
      </c>
      <c r="CP136" s="185">
        <f t="shared" si="115"/>
        <v>0</v>
      </c>
      <c r="CQ136" s="185">
        <f t="shared" si="115"/>
        <v>0</v>
      </c>
      <c r="CR136" s="185">
        <f t="shared" si="115"/>
        <v>0</v>
      </c>
      <c r="CS136" s="185">
        <f t="shared" si="115"/>
        <v>0</v>
      </c>
      <c r="CT136" s="185">
        <f t="shared" si="115"/>
        <v>0</v>
      </c>
      <c r="CU136" s="185">
        <f t="shared" ref="CU136:CX136" si="116">(CU132*CU135)</f>
        <v>0</v>
      </c>
      <c r="CV136" s="185">
        <f t="shared" si="116"/>
        <v>0</v>
      </c>
      <c r="CW136" s="185">
        <f t="shared" si="116"/>
        <v>0</v>
      </c>
      <c r="CX136" s="185">
        <f t="shared" si="116"/>
        <v>0</v>
      </c>
    </row>
    <row r="137" spans="1:102" ht="20" customHeight="1">
      <c r="A137" s="170"/>
      <c r="B137" s="97"/>
      <c r="C137" s="185"/>
      <c r="D137" s="185"/>
      <c r="E137" s="185"/>
      <c r="F137" s="185"/>
      <c r="G137" s="185"/>
      <c r="H137" s="185"/>
      <c r="I137" s="185"/>
      <c r="J137" s="185"/>
      <c r="K137" s="185"/>
      <c r="L137" s="185"/>
      <c r="M137" s="185"/>
      <c r="N137" s="185"/>
      <c r="O137" s="185"/>
      <c r="P137" s="185"/>
      <c r="Q137" s="185"/>
      <c r="R137" s="185"/>
      <c r="S137" s="185"/>
      <c r="T137" s="185"/>
      <c r="U137" s="185"/>
      <c r="V137" s="185"/>
      <c r="W137" s="185"/>
      <c r="X137" s="185"/>
      <c r="Y137" s="185"/>
      <c r="Z137" s="185"/>
      <c r="AA137" s="185"/>
      <c r="AB137" s="185"/>
      <c r="AC137" s="185"/>
      <c r="AD137" s="185"/>
      <c r="AE137" s="185"/>
      <c r="AF137" s="185"/>
      <c r="AG137" s="185"/>
      <c r="AH137" s="185"/>
      <c r="AI137" s="185"/>
      <c r="AJ137" s="185"/>
      <c r="AK137" s="185"/>
      <c r="AL137" s="185"/>
      <c r="AM137" s="185"/>
      <c r="AN137" s="185"/>
      <c r="AO137" s="185"/>
      <c r="AP137" s="185"/>
      <c r="AQ137" s="185"/>
      <c r="AR137" s="185"/>
      <c r="AS137" s="185"/>
      <c r="AT137" s="185"/>
      <c r="AU137" s="185"/>
      <c r="AV137" s="185"/>
      <c r="AW137" s="185"/>
      <c r="AX137" s="185"/>
      <c r="AY137" s="185"/>
      <c r="AZ137" s="185"/>
      <c r="BA137" s="185"/>
      <c r="BB137" s="185"/>
      <c r="BC137" s="185"/>
      <c r="BD137" s="185"/>
      <c r="BE137" s="185"/>
      <c r="BF137" s="185"/>
      <c r="BG137" s="185"/>
      <c r="BH137" s="185"/>
      <c r="BI137" s="185"/>
      <c r="BJ137" s="185"/>
      <c r="BK137" s="185"/>
      <c r="BL137" s="185"/>
      <c r="BM137" s="185"/>
      <c r="BN137" s="185"/>
      <c r="BO137" s="185"/>
      <c r="BP137" s="185"/>
      <c r="BQ137" s="185"/>
      <c r="BR137" s="185"/>
      <c r="BS137" s="185"/>
      <c r="BT137" s="185"/>
      <c r="BU137" s="185"/>
      <c r="BV137" s="185"/>
      <c r="BW137" s="185"/>
      <c r="BX137" s="185"/>
      <c r="BY137" s="185"/>
      <c r="BZ137" s="185"/>
      <c r="CA137" s="185"/>
      <c r="CB137" s="185"/>
      <c r="CC137" s="185"/>
      <c r="CD137" s="185"/>
      <c r="CE137" s="185"/>
      <c r="CF137" s="185"/>
      <c r="CG137" s="185"/>
      <c r="CH137" s="185"/>
      <c r="CI137" s="185"/>
      <c r="CJ137" s="185"/>
      <c r="CK137" s="185"/>
      <c r="CL137" s="185"/>
      <c r="CM137" s="185"/>
      <c r="CN137" s="185"/>
      <c r="CO137" s="185"/>
      <c r="CP137" s="185"/>
      <c r="CQ137" s="185"/>
      <c r="CR137" s="185"/>
      <c r="CS137" s="185"/>
      <c r="CT137" s="185"/>
      <c r="CU137" s="185"/>
      <c r="CV137" s="185"/>
      <c r="CW137" s="185"/>
      <c r="CX137" s="185"/>
    </row>
    <row r="138" spans="1:102" ht="20" customHeight="1">
      <c r="A138" s="170"/>
      <c r="B138" s="91" t="str">
        <f>"CO2 Price and Revenues from Transporting CO2 in escalated $"</f>
        <v>CO2 Price and Revenues from Transporting CO2 in escalated $</v>
      </c>
      <c r="C138" s="185"/>
      <c r="D138" s="185"/>
      <c r="E138" s="185"/>
      <c r="F138" s="185"/>
      <c r="G138" s="185"/>
      <c r="H138" s="185"/>
      <c r="I138" s="185"/>
      <c r="J138" s="185"/>
      <c r="K138" s="185"/>
      <c r="L138" s="185"/>
      <c r="M138" s="185"/>
      <c r="N138" s="185"/>
      <c r="O138" s="185"/>
      <c r="P138" s="185"/>
      <c r="Q138" s="185"/>
      <c r="R138" s="185"/>
      <c r="S138" s="185"/>
      <c r="T138" s="185"/>
      <c r="U138" s="185"/>
      <c r="V138" s="185"/>
      <c r="W138" s="185"/>
      <c r="X138" s="185"/>
      <c r="Y138" s="185"/>
      <c r="Z138" s="185"/>
      <c r="AA138" s="185"/>
      <c r="AB138" s="185"/>
      <c r="AC138" s="185"/>
      <c r="AD138" s="185"/>
      <c r="AE138" s="185"/>
      <c r="AF138" s="185"/>
      <c r="AG138" s="185"/>
      <c r="AH138" s="185"/>
      <c r="AI138" s="185"/>
      <c r="AJ138" s="185"/>
      <c r="AK138" s="185"/>
      <c r="AL138" s="185"/>
      <c r="AM138" s="185"/>
      <c r="AN138" s="185"/>
      <c r="AO138" s="185"/>
      <c r="AP138" s="185"/>
      <c r="AQ138" s="185"/>
      <c r="AR138" s="185"/>
      <c r="AS138" s="185"/>
      <c r="AT138" s="185"/>
      <c r="AU138" s="185"/>
      <c r="AV138" s="185"/>
      <c r="AW138" s="185"/>
      <c r="AX138" s="185"/>
      <c r="AY138" s="185"/>
      <c r="AZ138" s="185"/>
      <c r="BA138" s="185"/>
      <c r="BB138" s="185"/>
      <c r="BC138" s="185"/>
      <c r="BD138" s="185"/>
      <c r="BE138" s="185"/>
      <c r="BF138" s="185"/>
      <c r="BG138" s="185"/>
      <c r="BH138" s="185"/>
      <c r="BI138" s="185"/>
      <c r="BJ138" s="185"/>
      <c r="BK138" s="185"/>
      <c r="BL138" s="185"/>
      <c r="BM138" s="185"/>
      <c r="BN138" s="185"/>
      <c r="BO138" s="185"/>
      <c r="BP138" s="185"/>
      <c r="BQ138" s="185"/>
      <c r="BR138" s="185"/>
      <c r="BS138" s="185"/>
      <c r="BT138" s="185"/>
      <c r="BU138" s="185"/>
      <c r="BV138" s="185"/>
      <c r="BW138" s="185"/>
      <c r="BX138" s="185"/>
      <c r="BY138" s="185"/>
      <c r="BZ138" s="185"/>
      <c r="CA138" s="185"/>
      <c r="CB138" s="185"/>
      <c r="CC138" s="185"/>
      <c r="CD138" s="185"/>
      <c r="CE138" s="185"/>
      <c r="CF138" s="185"/>
      <c r="CG138" s="185"/>
      <c r="CH138" s="185"/>
      <c r="CI138" s="185"/>
      <c r="CJ138" s="185"/>
      <c r="CK138" s="185"/>
      <c r="CL138" s="185"/>
      <c r="CM138" s="185"/>
      <c r="CN138" s="185"/>
      <c r="CO138" s="185"/>
      <c r="CP138" s="185"/>
      <c r="CQ138" s="185"/>
      <c r="CR138" s="185"/>
      <c r="CS138" s="185"/>
      <c r="CT138" s="185"/>
      <c r="CU138" s="185"/>
      <c r="CV138" s="185"/>
      <c r="CW138" s="185"/>
      <c r="CX138" s="185"/>
    </row>
    <row r="139" spans="1:102" ht="20" customHeight="1">
      <c r="A139" s="170"/>
      <c r="B139" s="97" t="s">
        <v>158</v>
      </c>
      <c r="C139" s="188">
        <f t="shared" ref="C139:AH139" si="117">IF(C132&gt;0,$C$5*C79,0)</f>
        <v>0</v>
      </c>
      <c r="D139" s="188">
        <f t="shared" si="117"/>
        <v>0</v>
      </c>
      <c r="E139" s="188">
        <f t="shared" si="117"/>
        <v>57.219888124241415</v>
      </c>
      <c r="F139" s="188">
        <f t="shared" si="117"/>
        <v>58.535945551098962</v>
      </c>
      <c r="G139" s="188">
        <f t="shared" si="117"/>
        <v>59.882272298774232</v>
      </c>
      <c r="H139" s="188">
        <f t="shared" si="117"/>
        <v>61.25956456164603</v>
      </c>
      <c r="I139" s="188">
        <f t="shared" si="117"/>
        <v>62.668534546563876</v>
      </c>
      <c r="J139" s="188">
        <f t="shared" si="117"/>
        <v>64.109910841134848</v>
      </c>
      <c r="K139" s="188">
        <f t="shared" si="117"/>
        <v>65.584438790480945</v>
      </c>
      <c r="L139" s="188">
        <f t="shared" si="117"/>
        <v>67.092880882662001</v>
      </c>
      <c r="M139" s="188">
        <f t="shared" si="117"/>
        <v>68.636017142963212</v>
      </c>
      <c r="N139" s="188">
        <f t="shared" si="117"/>
        <v>70.214645537251371</v>
      </c>
      <c r="O139" s="188">
        <f t="shared" si="117"/>
        <v>71.829582384608145</v>
      </c>
      <c r="P139" s="188">
        <f t="shared" si="117"/>
        <v>73.481662779454126</v>
      </c>
      <c r="Q139" s="188">
        <f t="shared" si="117"/>
        <v>75.171741023381571</v>
      </c>
      <c r="R139" s="188">
        <f t="shared" si="117"/>
        <v>76.900691066919336</v>
      </c>
      <c r="S139" s="188">
        <f t="shared" si="117"/>
        <v>78.669406961458463</v>
      </c>
      <c r="T139" s="188">
        <f t="shared" si="117"/>
        <v>80.478803321572002</v>
      </c>
      <c r="U139" s="188">
        <f t="shared" si="117"/>
        <v>82.329815797968152</v>
      </c>
      <c r="V139" s="188">
        <f t="shared" si="117"/>
        <v>84.22340156132141</v>
      </c>
      <c r="W139" s="188">
        <f t="shared" si="117"/>
        <v>86.160539797231792</v>
      </c>
      <c r="X139" s="188">
        <f t="shared" si="117"/>
        <v>88.142232212568118</v>
      </c>
      <c r="Y139" s="188">
        <f t="shared" si="117"/>
        <v>90.169503553457176</v>
      </c>
      <c r="Z139" s="188">
        <f t="shared" si="117"/>
        <v>92.243402135186685</v>
      </c>
      <c r="AA139" s="188">
        <f t="shared" si="117"/>
        <v>94.365000384295968</v>
      </c>
      <c r="AB139" s="188">
        <f t="shared" si="117"/>
        <v>96.535395393134763</v>
      </c>
      <c r="AC139" s="188">
        <f t="shared" si="117"/>
        <v>98.755709487176858</v>
      </c>
      <c r="AD139" s="188">
        <f t="shared" si="117"/>
        <v>101.02709080538192</v>
      </c>
      <c r="AE139" s="188">
        <f t="shared" si="117"/>
        <v>103.35071389390569</v>
      </c>
      <c r="AF139" s="188">
        <f t="shared" si="117"/>
        <v>105.72778031346552</v>
      </c>
      <c r="AG139" s="188">
        <f t="shared" si="117"/>
        <v>108.15951926067521</v>
      </c>
      <c r="AH139" s="188">
        <f t="shared" si="117"/>
        <v>110.64718820367074</v>
      </c>
      <c r="AI139" s="188">
        <f t="shared" ref="AI139:BN139" si="118">IF(AI132&gt;0,$C$5*AI79,0)</f>
        <v>0</v>
      </c>
      <c r="AJ139" s="188">
        <f t="shared" si="118"/>
        <v>0</v>
      </c>
      <c r="AK139" s="188">
        <f t="shared" si="118"/>
        <v>0</v>
      </c>
      <c r="AL139" s="188">
        <f t="shared" si="118"/>
        <v>0</v>
      </c>
      <c r="AM139" s="188">
        <f t="shared" si="118"/>
        <v>0</v>
      </c>
      <c r="AN139" s="188">
        <f t="shared" si="118"/>
        <v>0</v>
      </c>
      <c r="AO139" s="188">
        <f t="shared" si="118"/>
        <v>0</v>
      </c>
      <c r="AP139" s="188">
        <f t="shared" si="118"/>
        <v>0</v>
      </c>
      <c r="AQ139" s="188">
        <f t="shared" si="118"/>
        <v>0</v>
      </c>
      <c r="AR139" s="188">
        <f t="shared" si="118"/>
        <v>0</v>
      </c>
      <c r="AS139" s="188">
        <f t="shared" si="118"/>
        <v>0</v>
      </c>
      <c r="AT139" s="188">
        <f t="shared" si="118"/>
        <v>0</v>
      </c>
      <c r="AU139" s="188">
        <f t="shared" si="118"/>
        <v>0</v>
      </c>
      <c r="AV139" s="188">
        <f t="shared" si="118"/>
        <v>0</v>
      </c>
      <c r="AW139" s="188">
        <f t="shared" si="118"/>
        <v>0</v>
      </c>
      <c r="AX139" s="188">
        <f t="shared" si="118"/>
        <v>0</v>
      </c>
      <c r="AY139" s="188">
        <f t="shared" si="118"/>
        <v>0</v>
      </c>
      <c r="AZ139" s="188">
        <f t="shared" si="118"/>
        <v>0</v>
      </c>
      <c r="BA139" s="188">
        <f t="shared" si="118"/>
        <v>0</v>
      </c>
      <c r="BB139" s="188">
        <f t="shared" si="118"/>
        <v>0</v>
      </c>
      <c r="BC139" s="188">
        <f t="shared" si="118"/>
        <v>0</v>
      </c>
      <c r="BD139" s="188">
        <f t="shared" si="118"/>
        <v>0</v>
      </c>
      <c r="BE139" s="188">
        <f t="shared" si="118"/>
        <v>0</v>
      </c>
      <c r="BF139" s="188">
        <f t="shared" si="118"/>
        <v>0</v>
      </c>
      <c r="BG139" s="188">
        <f t="shared" si="118"/>
        <v>0</v>
      </c>
      <c r="BH139" s="188">
        <f t="shared" si="118"/>
        <v>0</v>
      </c>
      <c r="BI139" s="188">
        <f t="shared" si="118"/>
        <v>0</v>
      </c>
      <c r="BJ139" s="188">
        <f t="shared" si="118"/>
        <v>0</v>
      </c>
      <c r="BK139" s="188">
        <f t="shared" si="118"/>
        <v>0</v>
      </c>
      <c r="BL139" s="188">
        <f t="shared" si="118"/>
        <v>0</v>
      </c>
      <c r="BM139" s="188">
        <f t="shared" si="118"/>
        <v>0</v>
      </c>
      <c r="BN139" s="188">
        <f t="shared" si="118"/>
        <v>0</v>
      </c>
      <c r="BO139" s="188">
        <f t="shared" ref="BO139:CX139" si="119">IF(BO132&gt;0,$C$5*BO79,0)</f>
        <v>0</v>
      </c>
      <c r="BP139" s="188">
        <f t="shared" si="119"/>
        <v>0</v>
      </c>
      <c r="BQ139" s="188">
        <f t="shared" si="119"/>
        <v>0</v>
      </c>
      <c r="BR139" s="188">
        <f t="shared" si="119"/>
        <v>0</v>
      </c>
      <c r="BS139" s="188">
        <f t="shared" si="119"/>
        <v>0</v>
      </c>
      <c r="BT139" s="188">
        <f t="shared" si="119"/>
        <v>0</v>
      </c>
      <c r="BU139" s="188">
        <f t="shared" si="119"/>
        <v>0</v>
      </c>
      <c r="BV139" s="188">
        <f t="shared" si="119"/>
        <v>0</v>
      </c>
      <c r="BW139" s="188">
        <f t="shared" si="119"/>
        <v>0</v>
      </c>
      <c r="BX139" s="188">
        <f t="shared" si="119"/>
        <v>0</v>
      </c>
      <c r="BY139" s="188">
        <f t="shared" si="119"/>
        <v>0</v>
      </c>
      <c r="BZ139" s="188">
        <f t="shared" si="119"/>
        <v>0</v>
      </c>
      <c r="CA139" s="188">
        <f t="shared" si="119"/>
        <v>0</v>
      </c>
      <c r="CB139" s="188">
        <f t="shared" si="119"/>
        <v>0</v>
      </c>
      <c r="CC139" s="188">
        <f t="shared" si="119"/>
        <v>0</v>
      </c>
      <c r="CD139" s="188">
        <f t="shared" si="119"/>
        <v>0</v>
      </c>
      <c r="CE139" s="188">
        <f t="shared" si="119"/>
        <v>0</v>
      </c>
      <c r="CF139" s="188">
        <f t="shared" si="119"/>
        <v>0</v>
      </c>
      <c r="CG139" s="188">
        <f t="shared" si="119"/>
        <v>0</v>
      </c>
      <c r="CH139" s="188">
        <f t="shared" si="119"/>
        <v>0</v>
      </c>
      <c r="CI139" s="188">
        <f t="shared" si="119"/>
        <v>0</v>
      </c>
      <c r="CJ139" s="188">
        <f t="shared" si="119"/>
        <v>0</v>
      </c>
      <c r="CK139" s="188">
        <f t="shared" si="119"/>
        <v>0</v>
      </c>
      <c r="CL139" s="188">
        <f t="shared" si="119"/>
        <v>0</v>
      </c>
      <c r="CM139" s="188">
        <f t="shared" si="119"/>
        <v>0</v>
      </c>
      <c r="CN139" s="188">
        <f t="shared" si="119"/>
        <v>0</v>
      </c>
      <c r="CO139" s="188">
        <f t="shared" si="119"/>
        <v>0</v>
      </c>
      <c r="CP139" s="188">
        <f t="shared" si="119"/>
        <v>0</v>
      </c>
      <c r="CQ139" s="188">
        <f t="shared" si="119"/>
        <v>0</v>
      </c>
      <c r="CR139" s="188">
        <f t="shared" si="119"/>
        <v>0</v>
      </c>
      <c r="CS139" s="188">
        <f t="shared" si="119"/>
        <v>0</v>
      </c>
      <c r="CT139" s="188">
        <f t="shared" si="119"/>
        <v>0</v>
      </c>
      <c r="CU139" s="188">
        <f t="shared" si="119"/>
        <v>0</v>
      </c>
      <c r="CV139" s="188">
        <f t="shared" si="119"/>
        <v>0</v>
      </c>
      <c r="CW139" s="188">
        <f t="shared" si="119"/>
        <v>0</v>
      </c>
      <c r="CX139" s="188">
        <f t="shared" si="119"/>
        <v>0</v>
      </c>
    </row>
    <row r="140" spans="1:102" ht="20" customHeight="1">
      <c r="A140" s="170">
        <f>SUM(C140:CX140)</f>
        <v>703822838.41493618</v>
      </c>
      <c r="B140" s="97" t="s">
        <v>159</v>
      </c>
      <c r="C140" s="186">
        <f t="shared" ref="C140:AH140" si="120">(C139*C132)</f>
        <v>0</v>
      </c>
      <c r="D140" s="186">
        <f t="shared" si="120"/>
        <v>0</v>
      </c>
      <c r="E140" s="186">
        <f t="shared" si="120"/>
        <v>16548778.057068031</v>
      </c>
      <c r="F140" s="186">
        <f t="shared" si="120"/>
        <v>16929399.952380594</v>
      </c>
      <c r="G140" s="186">
        <f t="shared" si="120"/>
        <v>17318776.151285347</v>
      </c>
      <c r="H140" s="186">
        <f t="shared" si="120"/>
        <v>17717108.002764907</v>
      </c>
      <c r="I140" s="186">
        <f t="shared" si="120"/>
        <v>18124601.486828495</v>
      </c>
      <c r="J140" s="186">
        <f t="shared" si="120"/>
        <v>18541467.321025554</v>
      </c>
      <c r="K140" s="186">
        <f t="shared" si="120"/>
        <v>18967921.069409139</v>
      </c>
      <c r="L140" s="186">
        <f t="shared" si="120"/>
        <v>19404183.254005548</v>
      </c>
      <c r="M140" s="186">
        <f t="shared" si="120"/>
        <v>19850479.46884767</v>
      </c>
      <c r="N140" s="186">
        <f t="shared" si="120"/>
        <v>20307040.496631168</v>
      </c>
      <c r="O140" s="186">
        <f t="shared" si="120"/>
        <v>20774102.428053685</v>
      </c>
      <c r="P140" s="186">
        <f t="shared" si="120"/>
        <v>21251906.783898916</v>
      </c>
      <c r="Q140" s="186">
        <f t="shared" si="120"/>
        <v>21740700.639928591</v>
      </c>
      <c r="R140" s="186">
        <f t="shared" si="120"/>
        <v>22240736.754646946</v>
      </c>
      <c r="S140" s="186">
        <f t="shared" si="120"/>
        <v>22752273.700003821</v>
      </c>
      <c r="T140" s="186">
        <f t="shared" si="120"/>
        <v>23275575.995103907</v>
      </c>
      <c r="U140" s="186">
        <f t="shared" si="120"/>
        <v>23810914.242991295</v>
      </c>
      <c r="V140" s="186">
        <f t="shared" si="120"/>
        <v>24358565.270580091</v>
      </c>
      <c r="W140" s="186">
        <f t="shared" si="120"/>
        <v>24918812.271803431</v>
      </c>
      <c r="X140" s="186">
        <f t="shared" si="120"/>
        <v>25491944.954054907</v>
      </c>
      <c r="Y140" s="186">
        <f t="shared" si="120"/>
        <v>26078259.687998168</v>
      </c>
      <c r="Z140" s="186">
        <f t="shared" si="120"/>
        <v>26678059.660822123</v>
      </c>
      <c r="AA140" s="186">
        <f t="shared" si="120"/>
        <v>27291655.033021029</v>
      </c>
      <c r="AB140" s="186">
        <f t="shared" si="120"/>
        <v>27919363.098780513</v>
      </c>
      <c r="AC140" s="186">
        <f t="shared" si="120"/>
        <v>28561508.450052463</v>
      </c>
      <c r="AD140" s="186">
        <f t="shared" si="120"/>
        <v>29218423.144403666</v>
      </c>
      <c r="AE140" s="186">
        <f t="shared" si="120"/>
        <v>29890446.876724947</v>
      </c>
      <c r="AF140" s="186">
        <f t="shared" si="120"/>
        <v>30577927.154889617</v>
      </c>
      <c r="AG140" s="186">
        <f t="shared" si="120"/>
        <v>31281219.479452077</v>
      </c>
      <c r="AH140" s="186">
        <f t="shared" si="120"/>
        <v>32000687.527479474</v>
      </c>
      <c r="AI140" s="186">
        <f t="shared" ref="AI140:BN140" si="121">(AI139*AI132)</f>
        <v>0</v>
      </c>
      <c r="AJ140" s="186">
        <f t="shared" si="121"/>
        <v>0</v>
      </c>
      <c r="AK140" s="186">
        <f t="shared" si="121"/>
        <v>0</v>
      </c>
      <c r="AL140" s="186">
        <f t="shared" si="121"/>
        <v>0</v>
      </c>
      <c r="AM140" s="186">
        <f t="shared" si="121"/>
        <v>0</v>
      </c>
      <c r="AN140" s="186">
        <f t="shared" si="121"/>
        <v>0</v>
      </c>
      <c r="AO140" s="186">
        <f t="shared" si="121"/>
        <v>0</v>
      </c>
      <c r="AP140" s="186">
        <f t="shared" si="121"/>
        <v>0</v>
      </c>
      <c r="AQ140" s="186">
        <f t="shared" si="121"/>
        <v>0</v>
      </c>
      <c r="AR140" s="186">
        <f t="shared" si="121"/>
        <v>0</v>
      </c>
      <c r="AS140" s="186">
        <f t="shared" si="121"/>
        <v>0</v>
      </c>
      <c r="AT140" s="186">
        <f t="shared" si="121"/>
        <v>0</v>
      </c>
      <c r="AU140" s="186">
        <f t="shared" si="121"/>
        <v>0</v>
      </c>
      <c r="AV140" s="186">
        <f t="shared" si="121"/>
        <v>0</v>
      </c>
      <c r="AW140" s="186">
        <f t="shared" si="121"/>
        <v>0</v>
      </c>
      <c r="AX140" s="186">
        <f t="shared" si="121"/>
        <v>0</v>
      </c>
      <c r="AY140" s="186">
        <f t="shared" si="121"/>
        <v>0</v>
      </c>
      <c r="AZ140" s="186">
        <f t="shared" si="121"/>
        <v>0</v>
      </c>
      <c r="BA140" s="186">
        <f t="shared" si="121"/>
        <v>0</v>
      </c>
      <c r="BB140" s="186">
        <f t="shared" si="121"/>
        <v>0</v>
      </c>
      <c r="BC140" s="186">
        <f t="shared" si="121"/>
        <v>0</v>
      </c>
      <c r="BD140" s="186">
        <f t="shared" si="121"/>
        <v>0</v>
      </c>
      <c r="BE140" s="186">
        <f t="shared" si="121"/>
        <v>0</v>
      </c>
      <c r="BF140" s="186">
        <f t="shared" si="121"/>
        <v>0</v>
      </c>
      <c r="BG140" s="186">
        <f t="shared" si="121"/>
        <v>0</v>
      </c>
      <c r="BH140" s="186">
        <f t="shared" si="121"/>
        <v>0</v>
      </c>
      <c r="BI140" s="186">
        <f t="shared" si="121"/>
        <v>0</v>
      </c>
      <c r="BJ140" s="186">
        <f t="shared" si="121"/>
        <v>0</v>
      </c>
      <c r="BK140" s="186">
        <f t="shared" si="121"/>
        <v>0</v>
      </c>
      <c r="BL140" s="186">
        <f t="shared" si="121"/>
        <v>0</v>
      </c>
      <c r="BM140" s="186">
        <f t="shared" si="121"/>
        <v>0</v>
      </c>
      <c r="BN140" s="186">
        <f t="shared" si="121"/>
        <v>0</v>
      </c>
      <c r="BO140" s="186">
        <f t="shared" ref="BO140:CT140" si="122">(BO139*BO132)</f>
        <v>0</v>
      </c>
      <c r="BP140" s="186">
        <f t="shared" si="122"/>
        <v>0</v>
      </c>
      <c r="BQ140" s="186">
        <f t="shared" si="122"/>
        <v>0</v>
      </c>
      <c r="BR140" s="186">
        <f t="shared" si="122"/>
        <v>0</v>
      </c>
      <c r="BS140" s="186">
        <f t="shared" si="122"/>
        <v>0</v>
      </c>
      <c r="BT140" s="186">
        <f t="shared" si="122"/>
        <v>0</v>
      </c>
      <c r="BU140" s="186">
        <f t="shared" si="122"/>
        <v>0</v>
      </c>
      <c r="BV140" s="186">
        <f t="shared" si="122"/>
        <v>0</v>
      </c>
      <c r="BW140" s="186">
        <f t="shared" si="122"/>
        <v>0</v>
      </c>
      <c r="BX140" s="186">
        <f t="shared" si="122"/>
        <v>0</v>
      </c>
      <c r="BY140" s="186">
        <f t="shared" si="122"/>
        <v>0</v>
      </c>
      <c r="BZ140" s="186">
        <f t="shared" si="122"/>
        <v>0</v>
      </c>
      <c r="CA140" s="186">
        <f t="shared" si="122"/>
        <v>0</v>
      </c>
      <c r="CB140" s="186">
        <f t="shared" si="122"/>
        <v>0</v>
      </c>
      <c r="CC140" s="186">
        <f t="shared" si="122"/>
        <v>0</v>
      </c>
      <c r="CD140" s="186">
        <f t="shared" si="122"/>
        <v>0</v>
      </c>
      <c r="CE140" s="186">
        <f t="shared" si="122"/>
        <v>0</v>
      </c>
      <c r="CF140" s="186">
        <f t="shared" si="122"/>
        <v>0</v>
      </c>
      <c r="CG140" s="186">
        <f t="shared" si="122"/>
        <v>0</v>
      </c>
      <c r="CH140" s="186">
        <f t="shared" si="122"/>
        <v>0</v>
      </c>
      <c r="CI140" s="186">
        <f t="shared" si="122"/>
        <v>0</v>
      </c>
      <c r="CJ140" s="186">
        <f t="shared" si="122"/>
        <v>0</v>
      </c>
      <c r="CK140" s="186">
        <f t="shared" si="122"/>
        <v>0</v>
      </c>
      <c r="CL140" s="186">
        <f t="shared" si="122"/>
        <v>0</v>
      </c>
      <c r="CM140" s="186">
        <f t="shared" si="122"/>
        <v>0</v>
      </c>
      <c r="CN140" s="186">
        <f t="shared" si="122"/>
        <v>0</v>
      </c>
      <c r="CO140" s="186">
        <f t="shared" si="122"/>
        <v>0</v>
      </c>
      <c r="CP140" s="186">
        <f t="shared" si="122"/>
        <v>0</v>
      </c>
      <c r="CQ140" s="186">
        <f t="shared" si="122"/>
        <v>0</v>
      </c>
      <c r="CR140" s="186">
        <f t="shared" si="122"/>
        <v>0</v>
      </c>
      <c r="CS140" s="186">
        <f t="shared" si="122"/>
        <v>0</v>
      </c>
      <c r="CT140" s="186">
        <f t="shared" si="122"/>
        <v>0</v>
      </c>
      <c r="CU140" s="186">
        <f t="shared" ref="CU140:CX140" si="123">(CU139*CU132)</f>
        <v>0</v>
      </c>
      <c r="CV140" s="186">
        <f t="shared" si="123"/>
        <v>0</v>
      </c>
      <c r="CW140" s="186">
        <f t="shared" si="123"/>
        <v>0</v>
      </c>
      <c r="CX140" s="186">
        <f t="shared" si="123"/>
        <v>0</v>
      </c>
    </row>
    <row r="141" spans="1:102" ht="20" customHeight="1">
      <c r="A141" s="170"/>
      <c r="C141" s="186"/>
      <c r="D141" s="186"/>
      <c r="E141" s="186"/>
      <c r="F141" s="186"/>
      <c r="G141" s="186"/>
      <c r="H141" s="186"/>
      <c r="I141" s="186"/>
      <c r="J141" s="186"/>
      <c r="K141" s="186"/>
      <c r="L141" s="186"/>
      <c r="M141" s="186"/>
      <c r="N141" s="186"/>
      <c r="O141" s="186"/>
      <c r="P141" s="186"/>
      <c r="Q141" s="186"/>
      <c r="R141" s="186"/>
      <c r="S141" s="186"/>
      <c r="T141" s="186"/>
      <c r="U141" s="186"/>
      <c r="V141" s="186"/>
      <c r="W141" s="186"/>
      <c r="X141" s="186"/>
      <c r="Y141" s="186"/>
      <c r="Z141" s="186"/>
      <c r="AA141" s="186"/>
      <c r="AB141" s="186"/>
      <c r="AC141" s="186"/>
      <c r="AD141" s="186"/>
      <c r="AE141" s="186"/>
      <c r="AF141" s="186"/>
      <c r="AG141" s="186"/>
      <c r="AH141" s="186"/>
      <c r="AI141" s="186"/>
      <c r="AJ141" s="186"/>
      <c r="AK141" s="186"/>
      <c r="AL141" s="186"/>
      <c r="AM141" s="186"/>
      <c r="AN141" s="186"/>
      <c r="AO141" s="186"/>
      <c r="AP141" s="186"/>
      <c r="AQ141" s="186"/>
      <c r="AR141" s="186"/>
      <c r="AS141" s="186"/>
      <c r="AT141" s="186"/>
      <c r="AU141" s="186"/>
      <c r="AV141" s="186"/>
      <c r="AW141" s="186"/>
      <c r="AX141" s="186"/>
      <c r="AY141" s="186"/>
      <c r="AZ141" s="186"/>
      <c r="BA141" s="186"/>
      <c r="BB141" s="186"/>
      <c r="BC141" s="186"/>
      <c r="BD141" s="186"/>
      <c r="BE141" s="186"/>
      <c r="BF141" s="186"/>
      <c r="BG141" s="186"/>
      <c r="BH141" s="186"/>
      <c r="BI141" s="186"/>
      <c r="BJ141" s="186"/>
      <c r="BK141" s="186"/>
      <c r="BL141" s="186"/>
      <c r="BM141" s="186"/>
      <c r="BN141" s="186"/>
      <c r="BO141" s="186"/>
      <c r="BP141" s="186"/>
      <c r="BQ141" s="186"/>
      <c r="BR141" s="186"/>
      <c r="BS141" s="186"/>
      <c r="BT141" s="186"/>
      <c r="BU141" s="186"/>
      <c r="BV141" s="186"/>
      <c r="BW141" s="186"/>
      <c r="BX141" s="186"/>
      <c r="BY141" s="186"/>
      <c r="BZ141" s="186"/>
      <c r="CA141" s="186"/>
      <c r="CB141" s="186"/>
      <c r="CC141" s="186"/>
      <c r="CD141" s="186"/>
      <c r="CE141" s="186"/>
      <c r="CF141" s="186"/>
      <c r="CG141" s="186"/>
      <c r="CH141" s="186"/>
      <c r="CI141" s="186"/>
      <c r="CJ141" s="186"/>
      <c r="CK141" s="186"/>
      <c r="CL141" s="186"/>
      <c r="CM141" s="186"/>
      <c r="CN141" s="186"/>
      <c r="CO141" s="186"/>
      <c r="CP141" s="186"/>
      <c r="CQ141" s="186"/>
      <c r="CR141" s="186"/>
      <c r="CS141" s="186"/>
      <c r="CT141" s="186"/>
      <c r="CU141" s="186"/>
      <c r="CV141" s="186"/>
      <c r="CW141" s="186"/>
      <c r="CX141" s="186"/>
    </row>
    <row r="142" spans="1:102" ht="20" customHeight="1">
      <c r="B142" s="91" t="str">
        <f>"Revenues from Transporting CO2 in present value $"</f>
        <v>Revenues from Transporting CO2 in present value $</v>
      </c>
      <c r="F142" s="95"/>
      <c r="G142" s="95"/>
      <c r="H142" s="95"/>
      <c r="I142" s="95"/>
      <c r="J142" s="95"/>
      <c r="K142" s="95"/>
      <c r="L142" s="95"/>
      <c r="M142" s="95"/>
      <c r="N142" s="95"/>
      <c r="O142" s="95"/>
      <c r="P142" s="95"/>
      <c r="Q142" s="95"/>
      <c r="R142" s="95"/>
      <c r="S142" s="95"/>
      <c r="T142" s="95"/>
      <c r="U142" s="95"/>
      <c r="V142" s="95"/>
      <c r="W142" s="95"/>
    </row>
    <row r="143" spans="1:102" ht="20" customHeight="1">
      <c r="A143" s="170">
        <f>SUM(C143:CX143)</f>
        <v>261532243.49665618</v>
      </c>
      <c r="B143" s="97" t="s">
        <v>160</v>
      </c>
      <c r="C143" s="186">
        <f>C140/C$80</f>
        <v>0</v>
      </c>
      <c r="D143" s="186">
        <f>D140/D$80</f>
        <v>0</v>
      </c>
      <c r="E143" s="186">
        <f t="shared" ref="E143:BP143" si="124">E140/E$80</f>
        <v>14608639.682424732</v>
      </c>
      <c r="F143" s="186">
        <f t="shared" si="124"/>
        <v>14041300.510655584</v>
      </c>
      <c r="G143" s="186">
        <f t="shared" si="124"/>
        <v>13495994.446884234</v>
      </c>
      <c r="H143" s="186">
        <f t="shared" si="124"/>
        <v>12971865.816282988</v>
      </c>
      <c r="I143" s="186">
        <f t="shared" si="124"/>
        <v>12468092.17489703</v>
      </c>
      <c r="J143" s="186">
        <f t="shared" si="124"/>
        <v>11983883.019094693</v>
      </c>
      <c r="K143" s="186">
        <f t="shared" si="124"/>
        <v>11518478.545137331</v>
      </c>
      <c r="L143" s="186">
        <f t="shared" si="124"/>
        <v>11071148.456922423</v>
      </c>
      <c r="M143" s="186">
        <f t="shared" si="124"/>
        <v>10641190.820028942</v>
      </c>
      <c r="N143" s="186">
        <f t="shared" si="124"/>
        <v>10227930.960266927</v>
      </c>
      <c r="O143" s="186">
        <f t="shared" si="124"/>
        <v>9830720.4050027784</v>
      </c>
      <c r="P143" s="186">
        <f t="shared" si="124"/>
        <v>9448935.8655991349</v>
      </c>
      <c r="Q143" s="186">
        <f t="shared" si="124"/>
        <v>9081978.2593725845</v>
      </c>
      <c r="R143" s="186">
        <f t="shared" si="124"/>
        <v>8729271.7695344687</v>
      </c>
      <c r="S143" s="186">
        <f t="shared" si="124"/>
        <v>8390262.9416397233</v>
      </c>
      <c r="T143" s="186">
        <f t="shared" si="124"/>
        <v>8064419.8151258966</v>
      </c>
      <c r="U143" s="186">
        <f t="shared" si="124"/>
        <v>7751231.0885796053</v>
      </c>
      <c r="V143" s="186">
        <f t="shared" si="124"/>
        <v>7450205.3174205963</v>
      </c>
      <c r="W143" s="186">
        <f t="shared" si="124"/>
        <v>7160870.142744435</v>
      </c>
      <c r="X143" s="186">
        <f t="shared" si="124"/>
        <v>6882771.5501137534</v>
      </c>
      <c r="Y143" s="186">
        <f t="shared" si="124"/>
        <v>6615473.1571350014</v>
      </c>
      <c r="Z143" s="186">
        <f t="shared" si="124"/>
        <v>6358555.5287027378</v>
      </c>
      <c r="AA143" s="186">
        <f t="shared" si="124"/>
        <v>6111615.5188370449</v>
      </c>
      <c r="AB143" s="186">
        <f t="shared" si="124"/>
        <v>5874265.6380812107</v>
      </c>
      <c r="AC143" s="186">
        <f t="shared" si="124"/>
        <v>5646133.4454671079</v>
      </c>
      <c r="AD143" s="186">
        <f t="shared" si="124"/>
        <v>5426860.9640941052</v>
      </c>
      <c r="AE143" s="186">
        <f t="shared" si="124"/>
        <v>5216104.1194044827</v>
      </c>
      <c r="AF143" s="186">
        <f t="shared" si="124"/>
        <v>5013532.199273902</v>
      </c>
      <c r="AG143" s="186">
        <f t="shared" si="124"/>
        <v>4818827.3350697439</v>
      </c>
      <c r="AH143" s="186">
        <f t="shared" si="124"/>
        <v>4631684.002862975</v>
      </c>
      <c r="AI143" s="186">
        <f t="shared" si="124"/>
        <v>0</v>
      </c>
      <c r="AJ143" s="186">
        <f t="shared" si="124"/>
        <v>0</v>
      </c>
      <c r="AK143" s="186">
        <f t="shared" si="124"/>
        <v>0</v>
      </c>
      <c r="AL143" s="186">
        <f t="shared" si="124"/>
        <v>0</v>
      </c>
      <c r="AM143" s="186">
        <f t="shared" si="124"/>
        <v>0</v>
      </c>
      <c r="AN143" s="186">
        <f t="shared" si="124"/>
        <v>0</v>
      </c>
      <c r="AO143" s="186">
        <f t="shared" si="124"/>
        <v>0</v>
      </c>
      <c r="AP143" s="186">
        <f t="shared" si="124"/>
        <v>0</v>
      </c>
      <c r="AQ143" s="186">
        <f t="shared" si="124"/>
        <v>0</v>
      </c>
      <c r="AR143" s="186">
        <f t="shared" si="124"/>
        <v>0</v>
      </c>
      <c r="AS143" s="186">
        <f t="shared" si="124"/>
        <v>0</v>
      </c>
      <c r="AT143" s="186">
        <f t="shared" si="124"/>
        <v>0</v>
      </c>
      <c r="AU143" s="186">
        <f t="shared" si="124"/>
        <v>0</v>
      </c>
      <c r="AV143" s="186">
        <f t="shared" si="124"/>
        <v>0</v>
      </c>
      <c r="AW143" s="186">
        <f t="shared" si="124"/>
        <v>0</v>
      </c>
      <c r="AX143" s="186">
        <f t="shared" si="124"/>
        <v>0</v>
      </c>
      <c r="AY143" s="186">
        <f t="shared" si="124"/>
        <v>0</v>
      </c>
      <c r="AZ143" s="186">
        <f t="shared" si="124"/>
        <v>0</v>
      </c>
      <c r="BA143" s="186">
        <f t="shared" si="124"/>
        <v>0</v>
      </c>
      <c r="BB143" s="186">
        <f t="shared" si="124"/>
        <v>0</v>
      </c>
      <c r="BC143" s="186">
        <f t="shared" si="124"/>
        <v>0</v>
      </c>
      <c r="BD143" s="186">
        <f t="shared" si="124"/>
        <v>0</v>
      </c>
      <c r="BE143" s="186">
        <f t="shared" si="124"/>
        <v>0</v>
      </c>
      <c r="BF143" s="186">
        <f t="shared" si="124"/>
        <v>0</v>
      </c>
      <c r="BG143" s="186">
        <f t="shared" si="124"/>
        <v>0</v>
      </c>
      <c r="BH143" s="186">
        <f t="shared" si="124"/>
        <v>0</v>
      </c>
      <c r="BI143" s="186">
        <f t="shared" si="124"/>
        <v>0</v>
      </c>
      <c r="BJ143" s="186">
        <f t="shared" si="124"/>
        <v>0</v>
      </c>
      <c r="BK143" s="186">
        <f t="shared" si="124"/>
        <v>0</v>
      </c>
      <c r="BL143" s="186">
        <f t="shared" si="124"/>
        <v>0</v>
      </c>
      <c r="BM143" s="186">
        <f t="shared" si="124"/>
        <v>0</v>
      </c>
      <c r="BN143" s="186">
        <f t="shared" si="124"/>
        <v>0</v>
      </c>
      <c r="BO143" s="186">
        <f t="shared" si="124"/>
        <v>0</v>
      </c>
      <c r="BP143" s="186">
        <f t="shared" si="124"/>
        <v>0</v>
      </c>
      <c r="BQ143" s="186">
        <f t="shared" ref="BQ143:CX143" si="125">BQ140/BQ$80</f>
        <v>0</v>
      </c>
      <c r="BR143" s="186">
        <f t="shared" si="125"/>
        <v>0</v>
      </c>
      <c r="BS143" s="186">
        <f t="shared" si="125"/>
        <v>0</v>
      </c>
      <c r="BT143" s="186">
        <f t="shared" si="125"/>
        <v>0</v>
      </c>
      <c r="BU143" s="186">
        <f t="shared" si="125"/>
        <v>0</v>
      </c>
      <c r="BV143" s="186">
        <f t="shared" si="125"/>
        <v>0</v>
      </c>
      <c r="BW143" s="186">
        <f t="shared" si="125"/>
        <v>0</v>
      </c>
      <c r="BX143" s="186">
        <f t="shared" si="125"/>
        <v>0</v>
      </c>
      <c r="BY143" s="186">
        <f t="shared" si="125"/>
        <v>0</v>
      </c>
      <c r="BZ143" s="186">
        <f t="shared" si="125"/>
        <v>0</v>
      </c>
      <c r="CA143" s="186">
        <f t="shared" si="125"/>
        <v>0</v>
      </c>
      <c r="CB143" s="186">
        <f t="shared" si="125"/>
        <v>0</v>
      </c>
      <c r="CC143" s="186">
        <f t="shared" si="125"/>
        <v>0</v>
      </c>
      <c r="CD143" s="186">
        <f t="shared" si="125"/>
        <v>0</v>
      </c>
      <c r="CE143" s="186">
        <f t="shared" si="125"/>
        <v>0</v>
      </c>
      <c r="CF143" s="186">
        <f t="shared" si="125"/>
        <v>0</v>
      </c>
      <c r="CG143" s="186">
        <f t="shared" si="125"/>
        <v>0</v>
      </c>
      <c r="CH143" s="186">
        <f t="shared" si="125"/>
        <v>0</v>
      </c>
      <c r="CI143" s="186">
        <f t="shared" si="125"/>
        <v>0</v>
      </c>
      <c r="CJ143" s="186">
        <f t="shared" si="125"/>
        <v>0</v>
      </c>
      <c r="CK143" s="186">
        <f t="shared" si="125"/>
        <v>0</v>
      </c>
      <c r="CL143" s="186">
        <f t="shared" si="125"/>
        <v>0</v>
      </c>
      <c r="CM143" s="186">
        <f t="shared" si="125"/>
        <v>0</v>
      </c>
      <c r="CN143" s="186">
        <f t="shared" si="125"/>
        <v>0</v>
      </c>
      <c r="CO143" s="186">
        <f t="shared" si="125"/>
        <v>0</v>
      </c>
      <c r="CP143" s="186">
        <f t="shared" si="125"/>
        <v>0</v>
      </c>
      <c r="CQ143" s="186">
        <f t="shared" si="125"/>
        <v>0</v>
      </c>
      <c r="CR143" s="186">
        <f t="shared" si="125"/>
        <v>0</v>
      </c>
      <c r="CS143" s="186">
        <f t="shared" si="125"/>
        <v>0</v>
      </c>
      <c r="CT143" s="186">
        <f t="shared" si="125"/>
        <v>0</v>
      </c>
      <c r="CU143" s="186">
        <f t="shared" si="125"/>
        <v>0</v>
      </c>
      <c r="CV143" s="186">
        <f t="shared" si="125"/>
        <v>0</v>
      </c>
      <c r="CW143" s="186">
        <f t="shared" si="125"/>
        <v>0</v>
      </c>
      <c r="CX143" s="186">
        <f t="shared" si="125"/>
        <v>0</v>
      </c>
    </row>
    <row r="144" spans="1:102" ht="20" customHeight="1">
      <c r="A144" s="170"/>
      <c r="B144" s="97"/>
      <c r="C144" s="186"/>
      <c r="D144" s="186"/>
      <c r="E144" s="186"/>
      <c r="F144" s="186"/>
      <c r="G144" s="186"/>
      <c r="H144" s="186"/>
      <c r="I144" s="186"/>
      <c r="J144" s="186"/>
      <c r="K144" s="186"/>
      <c r="L144" s="186"/>
      <c r="M144" s="186"/>
      <c r="N144" s="186"/>
      <c r="O144" s="186"/>
      <c r="P144" s="186"/>
      <c r="Q144" s="186"/>
      <c r="R144" s="186"/>
      <c r="S144" s="186"/>
      <c r="T144" s="186"/>
      <c r="U144" s="186"/>
      <c r="V144" s="186"/>
      <c r="W144" s="186"/>
      <c r="X144" s="186"/>
      <c r="Y144" s="186"/>
      <c r="Z144" s="186"/>
      <c r="AA144" s="186"/>
      <c r="AB144" s="186"/>
      <c r="AC144" s="186"/>
      <c r="AD144" s="186"/>
      <c r="AE144" s="186"/>
      <c r="AF144" s="186"/>
      <c r="AG144" s="186"/>
      <c r="AH144" s="186"/>
      <c r="AI144" s="186"/>
      <c r="AJ144" s="186"/>
      <c r="AK144" s="186"/>
      <c r="AL144" s="186"/>
      <c r="AM144" s="186"/>
      <c r="AN144" s="186"/>
      <c r="AO144" s="186"/>
      <c r="AP144" s="186"/>
      <c r="AQ144" s="186"/>
      <c r="AR144" s="186"/>
      <c r="AS144" s="186"/>
      <c r="AT144" s="186"/>
      <c r="AU144" s="186"/>
      <c r="AV144" s="186"/>
      <c r="AW144" s="186"/>
      <c r="AX144" s="186"/>
      <c r="AY144" s="186"/>
      <c r="AZ144" s="186"/>
      <c r="BA144" s="186"/>
      <c r="BB144" s="186"/>
      <c r="BC144" s="186"/>
      <c r="BD144" s="186"/>
      <c r="BE144" s="186"/>
      <c r="BF144" s="186"/>
      <c r="BG144" s="186"/>
      <c r="BH144" s="186"/>
      <c r="BI144" s="186"/>
      <c r="BJ144" s="186"/>
      <c r="BK144" s="186"/>
      <c r="BL144" s="186"/>
      <c r="BM144" s="186"/>
      <c r="BN144" s="186"/>
      <c r="BO144" s="186"/>
      <c r="BP144" s="186"/>
      <c r="BQ144" s="186"/>
      <c r="BR144" s="186"/>
      <c r="BS144" s="186"/>
      <c r="BT144" s="186"/>
      <c r="BU144" s="186"/>
      <c r="BV144" s="186"/>
      <c r="BW144" s="186"/>
      <c r="BX144" s="186"/>
      <c r="BY144" s="186"/>
      <c r="BZ144" s="186"/>
      <c r="CA144" s="186"/>
      <c r="CB144" s="186"/>
      <c r="CC144" s="186"/>
      <c r="CD144" s="186"/>
      <c r="CE144" s="186"/>
      <c r="CF144" s="186"/>
      <c r="CG144" s="186"/>
      <c r="CH144" s="186"/>
      <c r="CI144" s="186"/>
      <c r="CJ144" s="186"/>
      <c r="CK144" s="186"/>
      <c r="CL144" s="186"/>
      <c r="CM144" s="186"/>
      <c r="CN144" s="186"/>
      <c r="CO144" s="186"/>
      <c r="CP144" s="186"/>
      <c r="CQ144" s="186"/>
      <c r="CR144" s="186"/>
      <c r="CS144" s="186"/>
      <c r="CT144" s="186"/>
      <c r="CU144" s="186"/>
      <c r="CV144" s="186"/>
      <c r="CW144" s="186"/>
      <c r="CX144" s="186"/>
    </row>
    <row r="145" spans="1:102" s="88" customFormat="1" ht="20" customHeight="1">
      <c r="A145" s="87" t="s">
        <v>161</v>
      </c>
      <c r="C145" s="189"/>
      <c r="D145" s="189"/>
      <c r="E145" s="189"/>
      <c r="F145" s="190"/>
      <c r="G145" s="190"/>
      <c r="H145" s="190"/>
      <c r="I145" s="190"/>
      <c r="J145" s="190"/>
      <c r="K145" s="190"/>
      <c r="L145" s="190"/>
      <c r="M145" s="190"/>
      <c r="N145" s="190"/>
      <c r="O145" s="190"/>
      <c r="P145" s="190"/>
      <c r="Q145" s="190"/>
      <c r="R145" s="190"/>
      <c r="S145" s="190"/>
      <c r="T145" s="190"/>
      <c r="U145" s="190"/>
      <c r="V145" s="190"/>
      <c r="W145" s="190"/>
      <c r="X145" s="189"/>
      <c r="Y145" s="189"/>
      <c r="Z145" s="189"/>
      <c r="AA145" s="189"/>
      <c r="AB145" s="189"/>
      <c r="AC145" s="189"/>
      <c r="AD145" s="189"/>
      <c r="AE145" s="189"/>
      <c r="AF145" s="189"/>
      <c r="AG145" s="189"/>
      <c r="AH145" s="189"/>
      <c r="AI145" s="189"/>
      <c r="AJ145" s="189"/>
      <c r="AK145" s="189"/>
      <c r="AL145" s="189"/>
      <c r="AM145" s="189"/>
      <c r="AN145" s="189"/>
      <c r="AO145" s="189"/>
      <c r="AP145" s="189"/>
      <c r="AQ145" s="189"/>
      <c r="AR145" s="189"/>
      <c r="AS145" s="189"/>
      <c r="AT145" s="189"/>
      <c r="AU145" s="189"/>
      <c r="AV145" s="189"/>
      <c r="AW145" s="189"/>
      <c r="AX145" s="189"/>
      <c r="AY145" s="189"/>
      <c r="AZ145" s="189"/>
      <c r="BA145" s="189"/>
      <c r="BB145" s="189"/>
      <c r="BC145" s="189"/>
      <c r="BD145" s="189"/>
      <c r="BE145" s="189"/>
      <c r="BF145" s="189"/>
      <c r="BG145" s="189"/>
      <c r="BH145" s="189"/>
      <c r="BI145" s="189"/>
      <c r="BJ145" s="189"/>
      <c r="BK145" s="189"/>
      <c r="BL145" s="189"/>
      <c r="BM145" s="189"/>
      <c r="BN145" s="189"/>
      <c r="BO145" s="189"/>
      <c r="BP145" s="189"/>
      <c r="BQ145" s="189"/>
      <c r="BR145" s="189"/>
      <c r="BS145" s="189"/>
      <c r="BT145" s="189"/>
      <c r="BU145" s="189"/>
      <c r="BV145" s="189"/>
      <c r="BW145" s="189"/>
      <c r="BX145" s="189"/>
      <c r="BY145" s="189"/>
      <c r="BZ145" s="189"/>
      <c r="CA145" s="189"/>
      <c r="CB145" s="189"/>
      <c r="CC145" s="189"/>
      <c r="CD145" s="189"/>
      <c r="CE145" s="189"/>
      <c r="CF145" s="189"/>
      <c r="CG145" s="189"/>
      <c r="CH145" s="189"/>
      <c r="CI145" s="189"/>
      <c r="CJ145" s="189"/>
      <c r="CK145" s="189"/>
      <c r="CL145" s="189"/>
      <c r="CM145" s="189"/>
      <c r="CN145" s="189"/>
      <c r="CO145" s="189"/>
      <c r="CP145" s="189"/>
      <c r="CQ145" s="189"/>
      <c r="CR145" s="189"/>
      <c r="CS145" s="189"/>
      <c r="CT145" s="189"/>
      <c r="CU145" s="189"/>
      <c r="CV145" s="189"/>
      <c r="CW145" s="189"/>
      <c r="CX145" s="189"/>
    </row>
    <row r="146" spans="1:102" ht="20" customHeight="1">
      <c r="A146" s="109"/>
      <c r="B146" s="155" t="s">
        <v>147</v>
      </c>
      <c r="C146" s="123">
        <f>$C$38</f>
        <v>2024</v>
      </c>
      <c r="D146" s="123">
        <f t="shared" ref="D146:BO147" si="126">C146+1</f>
        <v>2025</v>
      </c>
      <c r="E146" s="123">
        <f t="shared" si="126"/>
        <v>2026</v>
      </c>
      <c r="F146" s="123">
        <f t="shared" si="126"/>
        <v>2027</v>
      </c>
      <c r="G146" s="123">
        <f t="shared" si="126"/>
        <v>2028</v>
      </c>
      <c r="H146" s="123">
        <f t="shared" si="126"/>
        <v>2029</v>
      </c>
      <c r="I146" s="123">
        <f t="shared" si="126"/>
        <v>2030</v>
      </c>
      <c r="J146" s="123">
        <f t="shared" si="126"/>
        <v>2031</v>
      </c>
      <c r="K146" s="123">
        <f t="shared" si="126"/>
        <v>2032</v>
      </c>
      <c r="L146" s="123">
        <f t="shared" si="126"/>
        <v>2033</v>
      </c>
      <c r="M146" s="123">
        <f t="shared" si="126"/>
        <v>2034</v>
      </c>
      <c r="N146" s="123">
        <f t="shared" si="126"/>
        <v>2035</v>
      </c>
      <c r="O146" s="123">
        <f t="shared" si="126"/>
        <v>2036</v>
      </c>
      <c r="P146" s="123">
        <f t="shared" si="126"/>
        <v>2037</v>
      </c>
      <c r="Q146" s="123">
        <f t="shared" si="126"/>
        <v>2038</v>
      </c>
      <c r="R146" s="123">
        <f t="shared" si="126"/>
        <v>2039</v>
      </c>
      <c r="S146" s="123">
        <f t="shared" si="126"/>
        <v>2040</v>
      </c>
      <c r="T146" s="123">
        <f t="shared" si="126"/>
        <v>2041</v>
      </c>
      <c r="U146" s="123">
        <f t="shared" si="126"/>
        <v>2042</v>
      </c>
      <c r="V146" s="123">
        <f t="shared" si="126"/>
        <v>2043</v>
      </c>
      <c r="W146" s="123">
        <f t="shared" si="126"/>
        <v>2044</v>
      </c>
      <c r="X146" s="123">
        <f t="shared" si="126"/>
        <v>2045</v>
      </c>
      <c r="Y146" s="123">
        <f t="shared" si="126"/>
        <v>2046</v>
      </c>
      <c r="Z146" s="123">
        <f t="shared" si="126"/>
        <v>2047</v>
      </c>
      <c r="AA146" s="123">
        <f t="shared" si="126"/>
        <v>2048</v>
      </c>
      <c r="AB146" s="123">
        <f t="shared" si="126"/>
        <v>2049</v>
      </c>
      <c r="AC146" s="123">
        <f t="shared" si="126"/>
        <v>2050</v>
      </c>
      <c r="AD146" s="123">
        <f t="shared" si="126"/>
        <v>2051</v>
      </c>
      <c r="AE146" s="123">
        <f t="shared" si="126"/>
        <v>2052</v>
      </c>
      <c r="AF146" s="123">
        <f t="shared" si="126"/>
        <v>2053</v>
      </c>
      <c r="AG146" s="123">
        <f t="shared" si="126"/>
        <v>2054</v>
      </c>
      <c r="AH146" s="123">
        <f t="shared" si="126"/>
        <v>2055</v>
      </c>
      <c r="AI146" s="123">
        <f t="shared" si="126"/>
        <v>2056</v>
      </c>
      <c r="AJ146" s="123">
        <f t="shared" si="126"/>
        <v>2057</v>
      </c>
      <c r="AK146" s="123">
        <f t="shared" si="126"/>
        <v>2058</v>
      </c>
      <c r="AL146" s="123">
        <f t="shared" si="126"/>
        <v>2059</v>
      </c>
      <c r="AM146" s="123">
        <f t="shared" si="126"/>
        <v>2060</v>
      </c>
      <c r="AN146" s="123">
        <f t="shared" si="126"/>
        <v>2061</v>
      </c>
      <c r="AO146" s="123">
        <f t="shared" si="126"/>
        <v>2062</v>
      </c>
      <c r="AP146" s="123">
        <f t="shared" si="126"/>
        <v>2063</v>
      </c>
      <c r="AQ146" s="123">
        <f t="shared" si="126"/>
        <v>2064</v>
      </c>
      <c r="AR146" s="123">
        <f t="shared" si="126"/>
        <v>2065</v>
      </c>
      <c r="AS146" s="123">
        <f t="shared" si="126"/>
        <v>2066</v>
      </c>
      <c r="AT146" s="123">
        <f t="shared" si="126"/>
        <v>2067</v>
      </c>
      <c r="AU146" s="123">
        <f t="shared" si="126"/>
        <v>2068</v>
      </c>
      <c r="AV146" s="123">
        <f t="shared" si="126"/>
        <v>2069</v>
      </c>
      <c r="AW146" s="123">
        <f t="shared" si="126"/>
        <v>2070</v>
      </c>
      <c r="AX146" s="123">
        <f t="shared" si="126"/>
        <v>2071</v>
      </c>
      <c r="AY146" s="123">
        <f t="shared" si="126"/>
        <v>2072</v>
      </c>
      <c r="AZ146" s="123">
        <f t="shared" si="126"/>
        <v>2073</v>
      </c>
      <c r="BA146" s="123">
        <f t="shared" si="126"/>
        <v>2074</v>
      </c>
      <c r="BB146" s="123">
        <f t="shared" si="126"/>
        <v>2075</v>
      </c>
      <c r="BC146" s="123">
        <f t="shared" si="126"/>
        <v>2076</v>
      </c>
      <c r="BD146" s="123">
        <f t="shared" si="126"/>
        <v>2077</v>
      </c>
      <c r="BE146" s="123">
        <f t="shared" si="126"/>
        <v>2078</v>
      </c>
      <c r="BF146" s="123">
        <f t="shared" si="126"/>
        <v>2079</v>
      </c>
      <c r="BG146" s="123">
        <f t="shared" si="126"/>
        <v>2080</v>
      </c>
      <c r="BH146" s="123">
        <f t="shared" si="126"/>
        <v>2081</v>
      </c>
      <c r="BI146" s="123">
        <f t="shared" si="126"/>
        <v>2082</v>
      </c>
      <c r="BJ146" s="123">
        <f t="shared" si="126"/>
        <v>2083</v>
      </c>
      <c r="BK146" s="123">
        <f t="shared" si="126"/>
        <v>2084</v>
      </c>
      <c r="BL146" s="123">
        <f t="shared" si="126"/>
        <v>2085</v>
      </c>
      <c r="BM146" s="123">
        <f t="shared" si="126"/>
        <v>2086</v>
      </c>
      <c r="BN146" s="123">
        <f t="shared" si="126"/>
        <v>2087</v>
      </c>
      <c r="BO146" s="123">
        <f t="shared" si="126"/>
        <v>2088</v>
      </c>
      <c r="BP146" s="123">
        <f t="shared" ref="BP146:CX147" si="127">BO146+1</f>
        <v>2089</v>
      </c>
      <c r="BQ146" s="123">
        <f t="shared" si="127"/>
        <v>2090</v>
      </c>
      <c r="BR146" s="123">
        <f t="shared" si="127"/>
        <v>2091</v>
      </c>
      <c r="BS146" s="123">
        <f t="shared" si="127"/>
        <v>2092</v>
      </c>
      <c r="BT146" s="123">
        <f t="shared" si="127"/>
        <v>2093</v>
      </c>
      <c r="BU146" s="123">
        <f t="shared" si="127"/>
        <v>2094</v>
      </c>
      <c r="BV146" s="123">
        <f t="shared" si="127"/>
        <v>2095</v>
      </c>
      <c r="BW146" s="123">
        <f t="shared" si="127"/>
        <v>2096</v>
      </c>
      <c r="BX146" s="123">
        <f t="shared" si="127"/>
        <v>2097</v>
      </c>
      <c r="BY146" s="123">
        <f t="shared" si="127"/>
        <v>2098</v>
      </c>
      <c r="BZ146" s="123">
        <f t="shared" si="127"/>
        <v>2099</v>
      </c>
      <c r="CA146" s="123">
        <f t="shared" si="127"/>
        <v>2100</v>
      </c>
      <c r="CB146" s="123">
        <f t="shared" si="127"/>
        <v>2101</v>
      </c>
      <c r="CC146" s="123">
        <f t="shared" si="127"/>
        <v>2102</v>
      </c>
      <c r="CD146" s="123">
        <f t="shared" si="127"/>
        <v>2103</v>
      </c>
      <c r="CE146" s="123">
        <f t="shared" si="127"/>
        <v>2104</v>
      </c>
      <c r="CF146" s="123">
        <f t="shared" si="127"/>
        <v>2105</v>
      </c>
      <c r="CG146" s="123">
        <f t="shared" si="127"/>
        <v>2106</v>
      </c>
      <c r="CH146" s="123">
        <f t="shared" si="127"/>
        <v>2107</v>
      </c>
      <c r="CI146" s="123">
        <f t="shared" si="127"/>
        <v>2108</v>
      </c>
      <c r="CJ146" s="123">
        <f t="shared" si="127"/>
        <v>2109</v>
      </c>
      <c r="CK146" s="123">
        <f t="shared" si="127"/>
        <v>2110</v>
      </c>
      <c r="CL146" s="123">
        <f t="shared" si="127"/>
        <v>2111</v>
      </c>
      <c r="CM146" s="123">
        <f t="shared" si="127"/>
        <v>2112</v>
      </c>
      <c r="CN146" s="123">
        <f t="shared" si="127"/>
        <v>2113</v>
      </c>
      <c r="CO146" s="123">
        <f t="shared" si="127"/>
        <v>2114</v>
      </c>
      <c r="CP146" s="123">
        <f t="shared" si="127"/>
        <v>2115</v>
      </c>
      <c r="CQ146" s="123">
        <f t="shared" si="127"/>
        <v>2116</v>
      </c>
      <c r="CR146" s="123">
        <f t="shared" si="127"/>
        <v>2117</v>
      </c>
      <c r="CS146" s="123">
        <f t="shared" si="127"/>
        <v>2118</v>
      </c>
      <c r="CT146" s="123">
        <f t="shared" si="127"/>
        <v>2119</v>
      </c>
      <c r="CU146" s="123">
        <f t="shared" si="127"/>
        <v>2120</v>
      </c>
      <c r="CV146" s="123">
        <f t="shared" si="127"/>
        <v>2121</v>
      </c>
      <c r="CW146" s="123">
        <f t="shared" si="127"/>
        <v>2122</v>
      </c>
      <c r="CX146" s="156">
        <f t="shared" si="127"/>
        <v>2123</v>
      </c>
    </row>
    <row r="147" spans="1:102" ht="20" customHeight="1">
      <c r="A147" s="109"/>
      <c r="B147" s="157" t="s">
        <v>148</v>
      </c>
      <c r="C147" s="158">
        <v>1</v>
      </c>
      <c r="D147" s="158">
        <f t="shared" si="126"/>
        <v>2</v>
      </c>
      <c r="E147" s="158">
        <f t="shared" si="126"/>
        <v>3</v>
      </c>
      <c r="F147" s="158">
        <f t="shared" si="126"/>
        <v>4</v>
      </c>
      <c r="G147" s="158">
        <f t="shared" si="126"/>
        <v>5</v>
      </c>
      <c r="H147" s="158">
        <f t="shared" si="126"/>
        <v>6</v>
      </c>
      <c r="I147" s="158">
        <f t="shared" si="126"/>
        <v>7</v>
      </c>
      <c r="J147" s="158">
        <f t="shared" si="126"/>
        <v>8</v>
      </c>
      <c r="K147" s="158">
        <f t="shared" si="126"/>
        <v>9</v>
      </c>
      <c r="L147" s="158">
        <f t="shared" si="126"/>
        <v>10</v>
      </c>
      <c r="M147" s="158">
        <f t="shared" si="126"/>
        <v>11</v>
      </c>
      <c r="N147" s="158">
        <f t="shared" si="126"/>
        <v>12</v>
      </c>
      <c r="O147" s="158">
        <f t="shared" si="126"/>
        <v>13</v>
      </c>
      <c r="P147" s="158">
        <f t="shared" si="126"/>
        <v>14</v>
      </c>
      <c r="Q147" s="158">
        <f t="shared" si="126"/>
        <v>15</v>
      </c>
      <c r="R147" s="158">
        <f t="shared" si="126"/>
        <v>16</v>
      </c>
      <c r="S147" s="158">
        <f t="shared" si="126"/>
        <v>17</v>
      </c>
      <c r="T147" s="158">
        <f t="shared" si="126"/>
        <v>18</v>
      </c>
      <c r="U147" s="158">
        <f t="shared" si="126"/>
        <v>19</v>
      </c>
      <c r="V147" s="158">
        <f t="shared" si="126"/>
        <v>20</v>
      </c>
      <c r="W147" s="158">
        <f t="shared" si="126"/>
        <v>21</v>
      </c>
      <c r="X147" s="158">
        <f t="shared" si="126"/>
        <v>22</v>
      </c>
      <c r="Y147" s="158">
        <f t="shared" si="126"/>
        <v>23</v>
      </c>
      <c r="Z147" s="158">
        <f t="shared" si="126"/>
        <v>24</v>
      </c>
      <c r="AA147" s="158">
        <f t="shared" si="126"/>
        <v>25</v>
      </c>
      <c r="AB147" s="158">
        <f t="shared" si="126"/>
        <v>26</v>
      </c>
      <c r="AC147" s="158">
        <f t="shared" si="126"/>
        <v>27</v>
      </c>
      <c r="AD147" s="158">
        <f t="shared" si="126"/>
        <v>28</v>
      </c>
      <c r="AE147" s="158">
        <f t="shared" si="126"/>
        <v>29</v>
      </c>
      <c r="AF147" s="158">
        <f t="shared" si="126"/>
        <v>30</v>
      </c>
      <c r="AG147" s="158">
        <f t="shared" si="126"/>
        <v>31</v>
      </c>
      <c r="AH147" s="158">
        <f t="shared" si="126"/>
        <v>32</v>
      </c>
      <c r="AI147" s="158">
        <f t="shared" si="126"/>
        <v>33</v>
      </c>
      <c r="AJ147" s="158">
        <f t="shared" si="126"/>
        <v>34</v>
      </c>
      <c r="AK147" s="158">
        <f t="shared" si="126"/>
        <v>35</v>
      </c>
      <c r="AL147" s="158">
        <f t="shared" si="126"/>
        <v>36</v>
      </c>
      <c r="AM147" s="158">
        <f t="shared" si="126"/>
        <v>37</v>
      </c>
      <c r="AN147" s="158">
        <f t="shared" si="126"/>
        <v>38</v>
      </c>
      <c r="AO147" s="158">
        <f t="shared" si="126"/>
        <v>39</v>
      </c>
      <c r="AP147" s="158">
        <f t="shared" si="126"/>
        <v>40</v>
      </c>
      <c r="AQ147" s="158">
        <f t="shared" si="126"/>
        <v>41</v>
      </c>
      <c r="AR147" s="158">
        <f t="shared" si="126"/>
        <v>42</v>
      </c>
      <c r="AS147" s="158">
        <f t="shared" si="126"/>
        <v>43</v>
      </c>
      <c r="AT147" s="158">
        <f t="shared" si="126"/>
        <v>44</v>
      </c>
      <c r="AU147" s="158">
        <f t="shared" si="126"/>
        <v>45</v>
      </c>
      <c r="AV147" s="158">
        <f t="shared" si="126"/>
        <v>46</v>
      </c>
      <c r="AW147" s="158">
        <f t="shared" si="126"/>
        <v>47</v>
      </c>
      <c r="AX147" s="158">
        <f t="shared" si="126"/>
        <v>48</v>
      </c>
      <c r="AY147" s="158">
        <f t="shared" si="126"/>
        <v>49</v>
      </c>
      <c r="AZ147" s="158">
        <f t="shared" si="126"/>
        <v>50</v>
      </c>
      <c r="BA147" s="158">
        <f t="shared" si="126"/>
        <v>51</v>
      </c>
      <c r="BB147" s="158">
        <f t="shared" si="126"/>
        <v>52</v>
      </c>
      <c r="BC147" s="158">
        <f t="shared" si="126"/>
        <v>53</v>
      </c>
      <c r="BD147" s="158">
        <f t="shared" si="126"/>
        <v>54</v>
      </c>
      <c r="BE147" s="158">
        <f t="shared" si="126"/>
        <v>55</v>
      </c>
      <c r="BF147" s="158">
        <f t="shared" si="126"/>
        <v>56</v>
      </c>
      <c r="BG147" s="158">
        <f t="shared" si="126"/>
        <v>57</v>
      </c>
      <c r="BH147" s="158">
        <f t="shared" si="126"/>
        <v>58</v>
      </c>
      <c r="BI147" s="158">
        <f t="shared" si="126"/>
        <v>59</v>
      </c>
      <c r="BJ147" s="158">
        <f t="shared" si="126"/>
        <v>60</v>
      </c>
      <c r="BK147" s="158">
        <f t="shared" si="126"/>
        <v>61</v>
      </c>
      <c r="BL147" s="158">
        <f t="shared" si="126"/>
        <v>62</v>
      </c>
      <c r="BM147" s="158">
        <f t="shared" si="126"/>
        <v>63</v>
      </c>
      <c r="BN147" s="158">
        <f t="shared" si="126"/>
        <v>64</v>
      </c>
      <c r="BO147" s="158">
        <f t="shared" si="126"/>
        <v>65</v>
      </c>
      <c r="BP147" s="158">
        <f t="shared" si="127"/>
        <v>66</v>
      </c>
      <c r="BQ147" s="158">
        <f t="shared" si="127"/>
        <v>67</v>
      </c>
      <c r="BR147" s="158">
        <f t="shared" si="127"/>
        <v>68</v>
      </c>
      <c r="BS147" s="158">
        <f t="shared" si="127"/>
        <v>69</v>
      </c>
      <c r="BT147" s="158">
        <f t="shared" si="127"/>
        <v>70</v>
      </c>
      <c r="BU147" s="158">
        <f t="shared" si="127"/>
        <v>71</v>
      </c>
      <c r="BV147" s="158">
        <f t="shared" si="127"/>
        <v>72</v>
      </c>
      <c r="BW147" s="158">
        <f t="shared" si="127"/>
        <v>73</v>
      </c>
      <c r="BX147" s="158">
        <f t="shared" si="127"/>
        <v>74</v>
      </c>
      <c r="BY147" s="158">
        <f t="shared" si="127"/>
        <v>75</v>
      </c>
      <c r="BZ147" s="158">
        <f t="shared" si="127"/>
        <v>76</v>
      </c>
      <c r="CA147" s="158">
        <f t="shared" si="127"/>
        <v>77</v>
      </c>
      <c r="CB147" s="158">
        <f t="shared" si="127"/>
        <v>78</v>
      </c>
      <c r="CC147" s="158">
        <f t="shared" si="127"/>
        <v>79</v>
      </c>
      <c r="CD147" s="158">
        <f t="shared" si="127"/>
        <v>80</v>
      </c>
      <c r="CE147" s="158">
        <f t="shared" si="127"/>
        <v>81</v>
      </c>
      <c r="CF147" s="158">
        <f t="shared" si="127"/>
        <v>82</v>
      </c>
      <c r="CG147" s="158">
        <f t="shared" si="127"/>
        <v>83</v>
      </c>
      <c r="CH147" s="158">
        <f t="shared" si="127"/>
        <v>84</v>
      </c>
      <c r="CI147" s="158">
        <f t="shared" si="127"/>
        <v>85</v>
      </c>
      <c r="CJ147" s="158">
        <f t="shared" si="127"/>
        <v>86</v>
      </c>
      <c r="CK147" s="158">
        <f t="shared" si="127"/>
        <v>87</v>
      </c>
      <c r="CL147" s="158">
        <f t="shared" si="127"/>
        <v>88</v>
      </c>
      <c r="CM147" s="158">
        <f t="shared" si="127"/>
        <v>89</v>
      </c>
      <c r="CN147" s="158">
        <f t="shared" si="127"/>
        <v>90</v>
      </c>
      <c r="CO147" s="158">
        <f t="shared" si="127"/>
        <v>91</v>
      </c>
      <c r="CP147" s="158">
        <f t="shared" si="127"/>
        <v>92</v>
      </c>
      <c r="CQ147" s="158">
        <f t="shared" si="127"/>
        <v>93</v>
      </c>
      <c r="CR147" s="158">
        <f t="shared" si="127"/>
        <v>94</v>
      </c>
      <c r="CS147" s="158">
        <f t="shared" si="127"/>
        <v>95</v>
      </c>
      <c r="CT147" s="158">
        <f t="shared" si="127"/>
        <v>96</v>
      </c>
      <c r="CU147" s="158">
        <f t="shared" si="127"/>
        <v>97</v>
      </c>
      <c r="CV147" s="158">
        <f t="shared" si="127"/>
        <v>98</v>
      </c>
      <c r="CW147" s="158">
        <f t="shared" si="127"/>
        <v>99</v>
      </c>
      <c r="CX147" s="159">
        <f t="shared" si="127"/>
        <v>100</v>
      </c>
    </row>
    <row r="148" spans="1:102" ht="20" customHeight="1">
      <c r="A148" s="109"/>
    </row>
    <row r="149" spans="1:102" ht="20" customHeight="1">
      <c r="A149" s="170">
        <f>SUM(C149:CX149)</f>
        <v>703822838.41493618</v>
      </c>
      <c r="B149" s="95" t="s">
        <v>159</v>
      </c>
      <c r="C149" s="191">
        <f t="shared" ref="C149:AH149" si="128">C140</f>
        <v>0</v>
      </c>
      <c r="D149" s="191">
        <f>D140</f>
        <v>0</v>
      </c>
      <c r="E149" s="191">
        <f>E140</f>
        <v>16548778.057068031</v>
      </c>
      <c r="F149" s="191">
        <f>F140</f>
        <v>16929399.952380594</v>
      </c>
      <c r="G149" s="191">
        <f t="shared" si="128"/>
        <v>17318776.151285347</v>
      </c>
      <c r="H149" s="191">
        <f t="shared" si="128"/>
        <v>17717108.002764907</v>
      </c>
      <c r="I149" s="191">
        <f t="shared" si="128"/>
        <v>18124601.486828495</v>
      </c>
      <c r="J149" s="191">
        <f t="shared" si="128"/>
        <v>18541467.321025554</v>
      </c>
      <c r="K149" s="191">
        <f t="shared" si="128"/>
        <v>18967921.069409139</v>
      </c>
      <c r="L149" s="191">
        <f t="shared" si="128"/>
        <v>19404183.254005548</v>
      </c>
      <c r="M149" s="191">
        <f t="shared" si="128"/>
        <v>19850479.46884767</v>
      </c>
      <c r="N149" s="191">
        <f t="shared" si="128"/>
        <v>20307040.496631168</v>
      </c>
      <c r="O149" s="191">
        <f t="shared" si="128"/>
        <v>20774102.428053685</v>
      </c>
      <c r="P149" s="191">
        <f t="shared" si="128"/>
        <v>21251906.783898916</v>
      </c>
      <c r="Q149" s="191">
        <f t="shared" si="128"/>
        <v>21740700.639928591</v>
      </c>
      <c r="R149" s="191">
        <f t="shared" si="128"/>
        <v>22240736.754646946</v>
      </c>
      <c r="S149" s="191">
        <f t="shared" si="128"/>
        <v>22752273.700003821</v>
      </c>
      <c r="T149" s="191">
        <f t="shared" si="128"/>
        <v>23275575.995103907</v>
      </c>
      <c r="U149" s="191">
        <f t="shared" si="128"/>
        <v>23810914.242991295</v>
      </c>
      <c r="V149" s="191">
        <f t="shared" si="128"/>
        <v>24358565.270580091</v>
      </c>
      <c r="W149" s="191">
        <f t="shared" si="128"/>
        <v>24918812.271803431</v>
      </c>
      <c r="X149" s="191">
        <f t="shared" si="128"/>
        <v>25491944.954054907</v>
      </c>
      <c r="Y149" s="191">
        <f>Y140</f>
        <v>26078259.687998168</v>
      </c>
      <c r="Z149" s="191">
        <f t="shared" si="128"/>
        <v>26678059.660822123</v>
      </c>
      <c r="AA149" s="191">
        <f t="shared" si="128"/>
        <v>27291655.033021029</v>
      </c>
      <c r="AB149" s="191">
        <f t="shared" si="128"/>
        <v>27919363.098780513</v>
      </c>
      <c r="AC149" s="191">
        <f t="shared" si="128"/>
        <v>28561508.450052463</v>
      </c>
      <c r="AD149" s="191">
        <f t="shared" si="128"/>
        <v>29218423.144403666</v>
      </c>
      <c r="AE149" s="191">
        <f t="shared" si="128"/>
        <v>29890446.876724947</v>
      </c>
      <c r="AF149" s="191">
        <f t="shared" si="128"/>
        <v>30577927.154889617</v>
      </c>
      <c r="AG149" s="191">
        <f t="shared" si="128"/>
        <v>31281219.479452077</v>
      </c>
      <c r="AH149" s="191">
        <f t="shared" si="128"/>
        <v>32000687.527479474</v>
      </c>
      <c r="AI149" s="191">
        <f t="shared" ref="AI149:BN149" si="129">AI140</f>
        <v>0</v>
      </c>
      <c r="AJ149" s="191">
        <f t="shared" si="129"/>
        <v>0</v>
      </c>
      <c r="AK149" s="191">
        <f t="shared" si="129"/>
        <v>0</v>
      </c>
      <c r="AL149" s="191">
        <f t="shared" si="129"/>
        <v>0</v>
      </c>
      <c r="AM149" s="191">
        <f t="shared" si="129"/>
        <v>0</v>
      </c>
      <c r="AN149" s="191">
        <f t="shared" si="129"/>
        <v>0</v>
      </c>
      <c r="AO149" s="191">
        <f t="shared" si="129"/>
        <v>0</v>
      </c>
      <c r="AP149" s="191">
        <f t="shared" si="129"/>
        <v>0</v>
      </c>
      <c r="AQ149" s="191">
        <f t="shared" si="129"/>
        <v>0</v>
      </c>
      <c r="AR149" s="191">
        <f t="shared" si="129"/>
        <v>0</v>
      </c>
      <c r="AS149" s="191">
        <f t="shared" si="129"/>
        <v>0</v>
      </c>
      <c r="AT149" s="191">
        <f t="shared" si="129"/>
        <v>0</v>
      </c>
      <c r="AU149" s="191">
        <f t="shared" si="129"/>
        <v>0</v>
      </c>
      <c r="AV149" s="191">
        <f t="shared" si="129"/>
        <v>0</v>
      </c>
      <c r="AW149" s="191">
        <f t="shared" si="129"/>
        <v>0</v>
      </c>
      <c r="AX149" s="191">
        <f t="shared" si="129"/>
        <v>0</v>
      </c>
      <c r="AY149" s="191">
        <f t="shared" si="129"/>
        <v>0</v>
      </c>
      <c r="AZ149" s="191">
        <f t="shared" si="129"/>
        <v>0</v>
      </c>
      <c r="BA149" s="191">
        <f t="shared" si="129"/>
        <v>0</v>
      </c>
      <c r="BB149" s="191">
        <f t="shared" si="129"/>
        <v>0</v>
      </c>
      <c r="BC149" s="191">
        <f t="shared" si="129"/>
        <v>0</v>
      </c>
      <c r="BD149" s="191">
        <f t="shared" si="129"/>
        <v>0</v>
      </c>
      <c r="BE149" s="191">
        <f t="shared" si="129"/>
        <v>0</v>
      </c>
      <c r="BF149" s="191">
        <f t="shared" si="129"/>
        <v>0</v>
      </c>
      <c r="BG149" s="191">
        <f t="shared" si="129"/>
        <v>0</v>
      </c>
      <c r="BH149" s="191">
        <f t="shared" si="129"/>
        <v>0</v>
      </c>
      <c r="BI149" s="191">
        <f t="shared" si="129"/>
        <v>0</v>
      </c>
      <c r="BJ149" s="191">
        <f t="shared" si="129"/>
        <v>0</v>
      </c>
      <c r="BK149" s="191">
        <f t="shared" si="129"/>
        <v>0</v>
      </c>
      <c r="BL149" s="191">
        <f t="shared" si="129"/>
        <v>0</v>
      </c>
      <c r="BM149" s="191">
        <f t="shared" si="129"/>
        <v>0</v>
      </c>
      <c r="BN149" s="191">
        <f t="shared" si="129"/>
        <v>0</v>
      </c>
      <c r="BO149" s="191">
        <f t="shared" ref="BO149:CX149" si="130">BO140</f>
        <v>0</v>
      </c>
      <c r="BP149" s="191">
        <f t="shared" si="130"/>
        <v>0</v>
      </c>
      <c r="BQ149" s="191">
        <f t="shared" si="130"/>
        <v>0</v>
      </c>
      <c r="BR149" s="191">
        <f t="shared" si="130"/>
        <v>0</v>
      </c>
      <c r="BS149" s="191">
        <f t="shared" si="130"/>
        <v>0</v>
      </c>
      <c r="BT149" s="191">
        <f t="shared" si="130"/>
        <v>0</v>
      </c>
      <c r="BU149" s="191">
        <f t="shared" si="130"/>
        <v>0</v>
      </c>
      <c r="BV149" s="191">
        <f t="shared" si="130"/>
        <v>0</v>
      </c>
      <c r="BW149" s="191">
        <f t="shared" si="130"/>
        <v>0</v>
      </c>
      <c r="BX149" s="191">
        <f t="shared" si="130"/>
        <v>0</v>
      </c>
      <c r="BY149" s="191">
        <f t="shared" si="130"/>
        <v>0</v>
      </c>
      <c r="BZ149" s="191">
        <f t="shared" si="130"/>
        <v>0</v>
      </c>
      <c r="CA149" s="191">
        <f t="shared" si="130"/>
        <v>0</v>
      </c>
      <c r="CB149" s="191">
        <f t="shared" si="130"/>
        <v>0</v>
      </c>
      <c r="CC149" s="191">
        <f t="shared" si="130"/>
        <v>0</v>
      </c>
      <c r="CD149" s="191">
        <f t="shared" si="130"/>
        <v>0</v>
      </c>
      <c r="CE149" s="191">
        <f t="shared" si="130"/>
        <v>0</v>
      </c>
      <c r="CF149" s="191">
        <f t="shared" si="130"/>
        <v>0</v>
      </c>
      <c r="CG149" s="191">
        <f t="shared" si="130"/>
        <v>0</v>
      </c>
      <c r="CH149" s="191">
        <f t="shared" si="130"/>
        <v>0</v>
      </c>
      <c r="CI149" s="191">
        <f t="shared" si="130"/>
        <v>0</v>
      </c>
      <c r="CJ149" s="191">
        <f t="shared" si="130"/>
        <v>0</v>
      </c>
      <c r="CK149" s="191">
        <f t="shared" si="130"/>
        <v>0</v>
      </c>
      <c r="CL149" s="191">
        <f t="shared" si="130"/>
        <v>0</v>
      </c>
      <c r="CM149" s="191">
        <f t="shared" si="130"/>
        <v>0</v>
      </c>
      <c r="CN149" s="191">
        <f t="shared" si="130"/>
        <v>0</v>
      </c>
      <c r="CO149" s="191">
        <f t="shared" si="130"/>
        <v>0</v>
      </c>
      <c r="CP149" s="191">
        <f t="shared" si="130"/>
        <v>0</v>
      </c>
      <c r="CQ149" s="191">
        <f t="shared" si="130"/>
        <v>0</v>
      </c>
      <c r="CR149" s="191">
        <f t="shared" si="130"/>
        <v>0</v>
      </c>
      <c r="CS149" s="191">
        <f t="shared" si="130"/>
        <v>0</v>
      </c>
      <c r="CT149" s="191">
        <f t="shared" si="130"/>
        <v>0</v>
      </c>
      <c r="CU149" s="191">
        <f t="shared" si="130"/>
        <v>0</v>
      </c>
      <c r="CV149" s="191">
        <f t="shared" si="130"/>
        <v>0</v>
      </c>
      <c r="CW149" s="191">
        <f t="shared" si="130"/>
        <v>0</v>
      </c>
      <c r="CX149" s="191">
        <f t="shared" si="130"/>
        <v>0</v>
      </c>
    </row>
    <row r="150" spans="1:102" ht="20" customHeight="1">
      <c r="A150" s="170">
        <f t="shared" ref="A150:A157" si="131">SUM(C150:CX150)</f>
        <v>430765951.69150341</v>
      </c>
      <c r="B150" s="97" t="s">
        <v>152</v>
      </c>
      <c r="C150" s="191">
        <f t="shared" ref="C150:AH150" si="132">C114</f>
        <v>0</v>
      </c>
      <c r="D150" s="191">
        <f t="shared" si="132"/>
        <v>0</v>
      </c>
      <c r="E150" s="191">
        <f t="shared" si="132"/>
        <v>10290032.211932873</v>
      </c>
      <c r="F150" s="191">
        <f t="shared" si="132"/>
        <v>10526702.952807328</v>
      </c>
      <c r="G150" s="191">
        <f t="shared" si="132"/>
        <v>10768817.120721895</v>
      </c>
      <c r="H150" s="191">
        <f t="shared" si="132"/>
        <v>11016499.914498497</v>
      </c>
      <c r="I150" s="191">
        <f t="shared" si="132"/>
        <v>11269879.412531961</v>
      </c>
      <c r="J150" s="191">
        <f t="shared" si="132"/>
        <v>11529086.639020195</v>
      </c>
      <c r="K150" s="191">
        <f t="shared" si="132"/>
        <v>11794255.63171766</v>
      </c>
      <c r="L150" s="191">
        <f t="shared" si="132"/>
        <v>12065523.511247164</v>
      </c>
      <c r="M150" s="191">
        <f t="shared" si="132"/>
        <v>12343030.552005848</v>
      </c>
      <c r="N150" s="191">
        <f t="shared" si="132"/>
        <v>12626920.254701981</v>
      </c>
      <c r="O150" s="191">
        <f t="shared" si="132"/>
        <v>12917339.420560127</v>
      </c>
      <c r="P150" s="191">
        <f t="shared" si="132"/>
        <v>13214438.227233008</v>
      </c>
      <c r="Q150" s="191">
        <f t="shared" si="132"/>
        <v>13518370.306459367</v>
      </c>
      <c r="R150" s="191">
        <f t="shared" si="132"/>
        <v>13829292.823507929</v>
      </c>
      <c r="S150" s="191">
        <f t="shared" si="132"/>
        <v>14147366.558448611</v>
      </c>
      <c r="T150" s="191">
        <f t="shared" si="132"/>
        <v>14472755.989292929</v>
      </c>
      <c r="U150" s="191">
        <f t="shared" si="132"/>
        <v>14805629.377046663</v>
      </c>
      <c r="V150" s="191">
        <f t="shared" si="132"/>
        <v>15146158.852718735</v>
      </c>
      <c r="W150" s="191">
        <f t="shared" si="132"/>
        <v>15494520.506331263</v>
      </c>
      <c r="X150" s="191">
        <f t="shared" si="132"/>
        <v>15850894.477976883</v>
      </c>
      <c r="Y150" s="191">
        <f t="shared" si="132"/>
        <v>16215465.050970349</v>
      </c>
      <c r="Z150" s="191">
        <f t="shared" si="132"/>
        <v>16588420.747142667</v>
      </c>
      <c r="AA150" s="191">
        <f t="shared" si="132"/>
        <v>16969954.424326945</v>
      </c>
      <c r="AB150" s="191">
        <f t="shared" si="132"/>
        <v>17360263.376086462</v>
      </c>
      <c r="AC150" s="191">
        <f t="shared" si="132"/>
        <v>17759549.433736451</v>
      </c>
      <c r="AD150" s="191">
        <f t="shared" si="132"/>
        <v>18168019.070712388</v>
      </c>
      <c r="AE150" s="191">
        <f t="shared" si="132"/>
        <v>18585883.50933877</v>
      </c>
      <c r="AF150" s="191">
        <f t="shared" si="132"/>
        <v>19013358.83005356</v>
      </c>
      <c r="AG150" s="191">
        <f t="shared" si="132"/>
        <v>19450666.083144791</v>
      </c>
      <c r="AH150" s="191">
        <f t="shared" si="132"/>
        <v>13026856.425230021</v>
      </c>
      <c r="AI150" s="191">
        <f t="shared" ref="AI150:BN150" si="133">AI114</f>
        <v>0</v>
      </c>
      <c r="AJ150" s="191">
        <f t="shared" si="133"/>
        <v>0</v>
      </c>
      <c r="AK150" s="191">
        <f t="shared" si="133"/>
        <v>0</v>
      </c>
      <c r="AL150" s="191">
        <f t="shared" si="133"/>
        <v>0</v>
      </c>
      <c r="AM150" s="191">
        <f t="shared" si="133"/>
        <v>0</v>
      </c>
      <c r="AN150" s="191">
        <f t="shared" si="133"/>
        <v>0</v>
      </c>
      <c r="AO150" s="191">
        <f t="shared" si="133"/>
        <v>0</v>
      </c>
      <c r="AP150" s="191">
        <f t="shared" si="133"/>
        <v>0</v>
      </c>
      <c r="AQ150" s="191">
        <f t="shared" si="133"/>
        <v>0</v>
      </c>
      <c r="AR150" s="191">
        <f t="shared" si="133"/>
        <v>0</v>
      </c>
      <c r="AS150" s="191">
        <f t="shared" si="133"/>
        <v>0</v>
      </c>
      <c r="AT150" s="191">
        <f t="shared" si="133"/>
        <v>0</v>
      </c>
      <c r="AU150" s="191">
        <f t="shared" si="133"/>
        <v>0</v>
      </c>
      <c r="AV150" s="191">
        <f t="shared" si="133"/>
        <v>0</v>
      </c>
      <c r="AW150" s="191">
        <f t="shared" si="133"/>
        <v>0</v>
      </c>
      <c r="AX150" s="191">
        <f t="shared" si="133"/>
        <v>0</v>
      </c>
      <c r="AY150" s="191">
        <f t="shared" si="133"/>
        <v>0</v>
      </c>
      <c r="AZ150" s="191">
        <f t="shared" si="133"/>
        <v>0</v>
      </c>
      <c r="BA150" s="191">
        <f t="shared" si="133"/>
        <v>0</v>
      </c>
      <c r="BB150" s="191">
        <f t="shared" si="133"/>
        <v>0</v>
      </c>
      <c r="BC150" s="191">
        <f t="shared" si="133"/>
        <v>0</v>
      </c>
      <c r="BD150" s="191">
        <f t="shared" si="133"/>
        <v>0</v>
      </c>
      <c r="BE150" s="191">
        <f t="shared" si="133"/>
        <v>0</v>
      </c>
      <c r="BF150" s="191">
        <f t="shared" si="133"/>
        <v>0</v>
      </c>
      <c r="BG150" s="191">
        <f t="shared" si="133"/>
        <v>0</v>
      </c>
      <c r="BH150" s="191">
        <f t="shared" si="133"/>
        <v>0</v>
      </c>
      <c r="BI150" s="191">
        <f t="shared" si="133"/>
        <v>0</v>
      </c>
      <c r="BJ150" s="191">
        <f t="shared" si="133"/>
        <v>0</v>
      </c>
      <c r="BK150" s="191">
        <f t="shared" si="133"/>
        <v>0</v>
      </c>
      <c r="BL150" s="191">
        <f t="shared" si="133"/>
        <v>0</v>
      </c>
      <c r="BM150" s="191">
        <f t="shared" si="133"/>
        <v>0</v>
      </c>
      <c r="BN150" s="191">
        <f t="shared" si="133"/>
        <v>0</v>
      </c>
      <c r="BO150" s="191">
        <f t="shared" ref="BO150:CX150" si="134">BO114</f>
        <v>0</v>
      </c>
      <c r="BP150" s="191">
        <f t="shared" si="134"/>
        <v>0</v>
      </c>
      <c r="BQ150" s="191">
        <f t="shared" si="134"/>
        <v>0</v>
      </c>
      <c r="BR150" s="191">
        <f t="shared" si="134"/>
        <v>0</v>
      </c>
      <c r="BS150" s="191">
        <f t="shared" si="134"/>
        <v>0</v>
      </c>
      <c r="BT150" s="191">
        <f t="shared" si="134"/>
        <v>0</v>
      </c>
      <c r="BU150" s="191">
        <f t="shared" si="134"/>
        <v>0</v>
      </c>
      <c r="BV150" s="191">
        <f t="shared" si="134"/>
        <v>0</v>
      </c>
      <c r="BW150" s="191">
        <f t="shared" si="134"/>
        <v>0</v>
      </c>
      <c r="BX150" s="191">
        <f t="shared" si="134"/>
        <v>0</v>
      </c>
      <c r="BY150" s="191">
        <f t="shared" si="134"/>
        <v>0</v>
      </c>
      <c r="BZ150" s="191">
        <f t="shared" si="134"/>
        <v>0</v>
      </c>
      <c r="CA150" s="191">
        <f t="shared" si="134"/>
        <v>0</v>
      </c>
      <c r="CB150" s="191">
        <f t="shared" si="134"/>
        <v>0</v>
      </c>
      <c r="CC150" s="191">
        <f t="shared" si="134"/>
        <v>0</v>
      </c>
      <c r="CD150" s="191">
        <f t="shared" si="134"/>
        <v>0</v>
      </c>
      <c r="CE150" s="191">
        <f t="shared" si="134"/>
        <v>0</v>
      </c>
      <c r="CF150" s="191">
        <f t="shared" si="134"/>
        <v>0</v>
      </c>
      <c r="CG150" s="191">
        <f t="shared" si="134"/>
        <v>0</v>
      </c>
      <c r="CH150" s="191">
        <f t="shared" si="134"/>
        <v>0</v>
      </c>
      <c r="CI150" s="191">
        <f t="shared" si="134"/>
        <v>0</v>
      </c>
      <c r="CJ150" s="191">
        <f t="shared" si="134"/>
        <v>0</v>
      </c>
      <c r="CK150" s="191">
        <f t="shared" si="134"/>
        <v>0</v>
      </c>
      <c r="CL150" s="191">
        <f t="shared" si="134"/>
        <v>0</v>
      </c>
      <c r="CM150" s="191">
        <f t="shared" si="134"/>
        <v>0</v>
      </c>
      <c r="CN150" s="191">
        <f t="shared" si="134"/>
        <v>0</v>
      </c>
      <c r="CO150" s="191">
        <f t="shared" si="134"/>
        <v>0</v>
      </c>
      <c r="CP150" s="191">
        <f t="shared" si="134"/>
        <v>0</v>
      </c>
      <c r="CQ150" s="191">
        <f t="shared" si="134"/>
        <v>0</v>
      </c>
      <c r="CR150" s="191">
        <f t="shared" si="134"/>
        <v>0</v>
      </c>
      <c r="CS150" s="191">
        <f t="shared" si="134"/>
        <v>0</v>
      </c>
      <c r="CT150" s="191">
        <f t="shared" si="134"/>
        <v>0</v>
      </c>
      <c r="CU150" s="191">
        <f t="shared" si="134"/>
        <v>0</v>
      </c>
      <c r="CV150" s="191">
        <f t="shared" si="134"/>
        <v>0</v>
      </c>
      <c r="CW150" s="191">
        <f t="shared" si="134"/>
        <v>0</v>
      </c>
      <c r="CX150" s="191">
        <f t="shared" si="134"/>
        <v>0</v>
      </c>
    </row>
    <row r="151" spans="1:102" ht="20" customHeight="1">
      <c r="A151" s="170">
        <f t="shared" si="131"/>
        <v>55290368.075051539</v>
      </c>
      <c r="B151" s="95" t="s">
        <v>162</v>
      </c>
      <c r="C151" s="191">
        <f t="shared" ref="C151:AH151" si="135">C124</f>
        <v>0</v>
      </c>
      <c r="D151" s="191">
        <f t="shared" si="135"/>
        <v>0</v>
      </c>
      <c r="E151" s="191">
        <f t="shared" si="135"/>
        <v>2764518.4037525775</v>
      </c>
      <c r="F151" s="191">
        <f t="shared" si="135"/>
        <v>5529036.807505155</v>
      </c>
      <c r="G151" s="191">
        <f t="shared" si="135"/>
        <v>5529036.807505155</v>
      </c>
      <c r="H151" s="191">
        <f t="shared" si="135"/>
        <v>5529036.807505155</v>
      </c>
      <c r="I151" s="191">
        <f t="shared" si="135"/>
        <v>5529036.807505155</v>
      </c>
      <c r="J151" s="191">
        <f t="shared" si="135"/>
        <v>5529036.807505155</v>
      </c>
      <c r="K151" s="191">
        <f t="shared" si="135"/>
        <v>5529036.807505155</v>
      </c>
      <c r="L151" s="191">
        <f t="shared" si="135"/>
        <v>5529036.807505155</v>
      </c>
      <c r="M151" s="191">
        <f t="shared" si="135"/>
        <v>5529036.807505155</v>
      </c>
      <c r="N151" s="191">
        <f t="shared" si="135"/>
        <v>5529036.807505155</v>
      </c>
      <c r="O151" s="191">
        <f t="shared" si="135"/>
        <v>2764518.4037525775</v>
      </c>
      <c r="P151" s="191">
        <f t="shared" si="135"/>
        <v>0</v>
      </c>
      <c r="Q151" s="191">
        <f t="shared" si="135"/>
        <v>0</v>
      </c>
      <c r="R151" s="191">
        <f t="shared" si="135"/>
        <v>0</v>
      </c>
      <c r="S151" s="191">
        <f t="shared" si="135"/>
        <v>0</v>
      </c>
      <c r="T151" s="191">
        <f t="shared" si="135"/>
        <v>0</v>
      </c>
      <c r="U151" s="191">
        <f t="shared" si="135"/>
        <v>0</v>
      </c>
      <c r="V151" s="191">
        <f t="shared" si="135"/>
        <v>0</v>
      </c>
      <c r="W151" s="191">
        <f t="shared" si="135"/>
        <v>0</v>
      </c>
      <c r="X151" s="191">
        <f t="shared" si="135"/>
        <v>0</v>
      </c>
      <c r="Y151" s="191">
        <f t="shared" si="135"/>
        <v>0</v>
      </c>
      <c r="Z151" s="191">
        <f t="shared" si="135"/>
        <v>0</v>
      </c>
      <c r="AA151" s="191">
        <f t="shared" si="135"/>
        <v>0</v>
      </c>
      <c r="AB151" s="191">
        <f t="shared" si="135"/>
        <v>0</v>
      </c>
      <c r="AC151" s="191">
        <f t="shared" si="135"/>
        <v>0</v>
      </c>
      <c r="AD151" s="191">
        <f t="shared" si="135"/>
        <v>0</v>
      </c>
      <c r="AE151" s="191">
        <f t="shared" si="135"/>
        <v>0</v>
      </c>
      <c r="AF151" s="191">
        <f t="shared" si="135"/>
        <v>0</v>
      </c>
      <c r="AG151" s="191">
        <f t="shared" si="135"/>
        <v>0</v>
      </c>
      <c r="AH151" s="191">
        <f t="shared" si="135"/>
        <v>0</v>
      </c>
      <c r="AI151" s="191">
        <f t="shared" ref="AI151:BN151" si="136">AI124</f>
        <v>0</v>
      </c>
      <c r="AJ151" s="191">
        <f t="shared" si="136"/>
        <v>0</v>
      </c>
      <c r="AK151" s="191">
        <f t="shared" si="136"/>
        <v>0</v>
      </c>
      <c r="AL151" s="191">
        <f t="shared" si="136"/>
        <v>0</v>
      </c>
      <c r="AM151" s="191">
        <f t="shared" si="136"/>
        <v>0</v>
      </c>
      <c r="AN151" s="191">
        <f t="shared" si="136"/>
        <v>0</v>
      </c>
      <c r="AO151" s="191">
        <f t="shared" si="136"/>
        <v>0</v>
      </c>
      <c r="AP151" s="191">
        <f t="shared" si="136"/>
        <v>0</v>
      </c>
      <c r="AQ151" s="191">
        <f t="shared" si="136"/>
        <v>0</v>
      </c>
      <c r="AR151" s="191">
        <f t="shared" si="136"/>
        <v>0</v>
      </c>
      <c r="AS151" s="191">
        <f t="shared" si="136"/>
        <v>0</v>
      </c>
      <c r="AT151" s="191">
        <f t="shared" si="136"/>
        <v>0</v>
      </c>
      <c r="AU151" s="191">
        <f t="shared" si="136"/>
        <v>0</v>
      </c>
      <c r="AV151" s="191">
        <f t="shared" si="136"/>
        <v>0</v>
      </c>
      <c r="AW151" s="191">
        <f t="shared" si="136"/>
        <v>0</v>
      </c>
      <c r="AX151" s="191">
        <f t="shared" si="136"/>
        <v>0</v>
      </c>
      <c r="AY151" s="191">
        <f t="shared" si="136"/>
        <v>0</v>
      </c>
      <c r="AZ151" s="191">
        <f t="shared" si="136"/>
        <v>0</v>
      </c>
      <c r="BA151" s="191">
        <f t="shared" si="136"/>
        <v>0</v>
      </c>
      <c r="BB151" s="191">
        <f t="shared" si="136"/>
        <v>0</v>
      </c>
      <c r="BC151" s="191">
        <f t="shared" si="136"/>
        <v>0</v>
      </c>
      <c r="BD151" s="191">
        <f t="shared" si="136"/>
        <v>0</v>
      </c>
      <c r="BE151" s="191">
        <f t="shared" si="136"/>
        <v>0</v>
      </c>
      <c r="BF151" s="191">
        <f t="shared" si="136"/>
        <v>0</v>
      </c>
      <c r="BG151" s="191">
        <f t="shared" si="136"/>
        <v>0</v>
      </c>
      <c r="BH151" s="191">
        <f t="shared" si="136"/>
        <v>0</v>
      </c>
      <c r="BI151" s="191">
        <f t="shared" si="136"/>
        <v>0</v>
      </c>
      <c r="BJ151" s="191">
        <f t="shared" si="136"/>
        <v>0</v>
      </c>
      <c r="BK151" s="191">
        <f t="shared" si="136"/>
        <v>0</v>
      </c>
      <c r="BL151" s="191">
        <f t="shared" si="136"/>
        <v>0</v>
      </c>
      <c r="BM151" s="191">
        <f t="shared" si="136"/>
        <v>0</v>
      </c>
      <c r="BN151" s="191">
        <f t="shared" si="136"/>
        <v>0</v>
      </c>
      <c r="BO151" s="191">
        <f t="shared" ref="BO151:CX151" si="137">BO124</f>
        <v>0</v>
      </c>
      <c r="BP151" s="191">
        <f t="shared" si="137"/>
        <v>0</v>
      </c>
      <c r="BQ151" s="191">
        <f t="shared" si="137"/>
        <v>0</v>
      </c>
      <c r="BR151" s="191">
        <f t="shared" si="137"/>
        <v>0</v>
      </c>
      <c r="BS151" s="191">
        <f t="shared" si="137"/>
        <v>0</v>
      </c>
      <c r="BT151" s="191">
        <f t="shared" si="137"/>
        <v>0</v>
      </c>
      <c r="BU151" s="191">
        <f t="shared" si="137"/>
        <v>0</v>
      </c>
      <c r="BV151" s="191">
        <f t="shared" si="137"/>
        <v>0</v>
      </c>
      <c r="BW151" s="191">
        <f t="shared" si="137"/>
        <v>0</v>
      </c>
      <c r="BX151" s="191">
        <f t="shared" si="137"/>
        <v>0</v>
      </c>
      <c r="BY151" s="191">
        <f t="shared" si="137"/>
        <v>0</v>
      </c>
      <c r="BZ151" s="191">
        <f t="shared" si="137"/>
        <v>0</v>
      </c>
      <c r="CA151" s="191">
        <f t="shared" si="137"/>
        <v>0</v>
      </c>
      <c r="CB151" s="191">
        <f t="shared" si="137"/>
        <v>0</v>
      </c>
      <c r="CC151" s="191">
        <f t="shared" si="137"/>
        <v>0</v>
      </c>
      <c r="CD151" s="191">
        <f t="shared" si="137"/>
        <v>0</v>
      </c>
      <c r="CE151" s="191">
        <f t="shared" si="137"/>
        <v>0</v>
      </c>
      <c r="CF151" s="191">
        <f t="shared" si="137"/>
        <v>0</v>
      </c>
      <c r="CG151" s="191">
        <f t="shared" si="137"/>
        <v>0</v>
      </c>
      <c r="CH151" s="191">
        <f t="shared" si="137"/>
        <v>0</v>
      </c>
      <c r="CI151" s="191">
        <f t="shared" si="137"/>
        <v>0</v>
      </c>
      <c r="CJ151" s="191">
        <f t="shared" si="137"/>
        <v>0</v>
      </c>
      <c r="CK151" s="191">
        <f t="shared" si="137"/>
        <v>0</v>
      </c>
      <c r="CL151" s="191">
        <f t="shared" si="137"/>
        <v>0</v>
      </c>
      <c r="CM151" s="191">
        <f t="shared" si="137"/>
        <v>0</v>
      </c>
      <c r="CN151" s="191">
        <f t="shared" si="137"/>
        <v>0</v>
      </c>
      <c r="CO151" s="191">
        <f t="shared" si="137"/>
        <v>0</v>
      </c>
      <c r="CP151" s="191">
        <f t="shared" si="137"/>
        <v>0</v>
      </c>
      <c r="CQ151" s="191">
        <f t="shared" si="137"/>
        <v>0</v>
      </c>
      <c r="CR151" s="191">
        <f t="shared" si="137"/>
        <v>0</v>
      </c>
      <c r="CS151" s="191">
        <f t="shared" si="137"/>
        <v>0</v>
      </c>
      <c r="CT151" s="191">
        <f t="shared" si="137"/>
        <v>0</v>
      </c>
      <c r="CU151" s="191">
        <f t="shared" si="137"/>
        <v>0</v>
      </c>
      <c r="CV151" s="191">
        <f t="shared" si="137"/>
        <v>0</v>
      </c>
      <c r="CW151" s="191">
        <f t="shared" si="137"/>
        <v>0</v>
      </c>
      <c r="CX151" s="191">
        <f t="shared" si="137"/>
        <v>0</v>
      </c>
    </row>
    <row r="152" spans="1:102" ht="20" customHeight="1">
      <c r="A152" s="170">
        <f t="shared" si="131"/>
        <v>217766518.6483812</v>
      </c>
      <c r="B152" s="95" t="s">
        <v>163</v>
      </c>
      <c r="C152" s="109">
        <f>C149-SUM(C150:C151)</f>
        <v>0</v>
      </c>
      <c r="D152" s="109">
        <f>D149-SUM(D150:D151)</f>
        <v>0</v>
      </c>
      <c r="E152" s="109">
        <f>E149-SUM(E150:E151)</f>
        <v>3494227.4413825795</v>
      </c>
      <c r="F152" s="109">
        <f t="shared" ref="F152:AH152" si="138">F149-SUM(F150:F151)</f>
        <v>873660.19206811115</v>
      </c>
      <c r="G152" s="109">
        <f>G149-SUM(G150:G151)</f>
        <v>1020922.2230582964</v>
      </c>
      <c r="H152" s="109">
        <f t="shared" si="138"/>
        <v>1171571.280761255</v>
      </c>
      <c r="I152" s="109">
        <f t="shared" si="138"/>
        <v>1325685.2667913772</v>
      </c>
      <c r="J152" s="109">
        <f t="shared" si="138"/>
        <v>1483343.8745002039</v>
      </c>
      <c r="K152" s="109">
        <f t="shared" si="138"/>
        <v>1644628.6301863268</v>
      </c>
      <c r="L152" s="109">
        <f t="shared" si="138"/>
        <v>1809622.935253229</v>
      </c>
      <c r="M152" s="109">
        <f t="shared" si="138"/>
        <v>1978412.1093366668</v>
      </c>
      <c r="N152" s="109">
        <f t="shared" si="138"/>
        <v>2151083.4344240315</v>
      </c>
      <c r="O152" s="109">
        <f t="shared" si="138"/>
        <v>5092244.603740979</v>
      </c>
      <c r="P152" s="109">
        <f t="shared" si="138"/>
        <v>8037468.5566659085</v>
      </c>
      <c r="Q152" s="109">
        <f t="shared" si="138"/>
        <v>8222330.3334692232</v>
      </c>
      <c r="R152" s="109">
        <f t="shared" si="138"/>
        <v>8411443.9311390165</v>
      </c>
      <c r="S152" s="109">
        <f t="shared" si="138"/>
        <v>8604907.1415552106</v>
      </c>
      <c r="T152" s="109">
        <f t="shared" si="138"/>
        <v>8802820.0058109779</v>
      </c>
      <c r="U152" s="109">
        <f t="shared" si="138"/>
        <v>9005284.8659446314</v>
      </c>
      <c r="V152" s="109">
        <f t="shared" si="138"/>
        <v>9212406.4178613555</v>
      </c>
      <c r="W152" s="109">
        <f t="shared" si="138"/>
        <v>9424291.7654721681</v>
      </c>
      <c r="X152" s="109">
        <f t="shared" si="138"/>
        <v>9641050.4760780241</v>
      </c>
      <c r="Y152" s="109">
        <f t="shared" si="138"/>
        <v>9862794.6370278187</v>
      </c>
      <c r="Z152" s="109">
        <f t="shared" si="138"/>
        <v>10089638.913679456</v>
      </c>
      <c r="AA152" s="109">
        <f t="shared" si="138"/>
        <v>10321700.608694084</v>
      </c>
      <c r="AB152" s="109">
        <f t="shared" si="138"/>
        <v>10559099.722694051</v>
      </c>
      <c r="AC152" s="109">
        <f t="shared" si="138"/>
        <v>10801959.016316012</v>
      </c>
      <c r="AD152" s="109">
        <f t="shared" si="138"/>
        <v>11050404.073691279</v>
      </c>
      <c r="AE152" s="109">
        <f t="shared" si="138"/>
        <v>11304563.367386177</v>
      </c>
      <c r="AF152" s="109">
        <f t="shared" si="138"/>
        <v>11564568.324836057</v>
      </c>
      <c r="AG152" s="109">
        <f t="shared" si="138"/>
        <v>11830553.396307286</v>
      </c>
      <c r="AH152" s="109">
        <f t="shared" si="138"/>
        <v>18973831.102249451</v>
      </c>
      <c r="AI152" s="109">
        <f t="shared" ref="AI152:BN152" si="139">AI149-SUM(AI150:AI151)</f>
        <v>0</v>
      </c>
      <c r="AJ152" s="109">
        <f t="shared" si="139"/>
        <v>0</v>
      </c>
      <c r="AK152" s="109">
        <f t="shared" si="139"/>
        <v>0</v>
      </c>
      <c r="AL152" s="109">
        <f t="shared" si="139"/>
        <v>0</v>
      </c>
      <c r="AM152" s="109">
        <f t="shared" si="139"/>
        <v>0</v>
      </c>
      <c r="AN152" s="109">
        <f t="shared" si="139"/>
        <v>0</v>
      </c>
      <c r="AO152" s="109">
        <f t="shared" si="139"/>
        <v>0</v>
      </c>
      <c r="AP152" s="109">
        <f t="shared" si="139"/>
        <v>0</v>
      </c>
      <c r="AQ152" s="109">
        <f t="shared" si="139"/>
        <v>0</v>
      </c>
      <c r="AR152" s="109">
        <f t="shared" si="139"/>
        <v>0</v>
      </c>
      <c r="AS152" s="109">
        <f t="shared" si="139"/>
        <v>0</v>
      </c>
      <c r="AT152" s="109">
        <f t="shared" si="139"/>
        <v>0</v>
      </c>
      <c r="AU152" s="109">
        <f t="shared" si="139"/>
        <v>0</v>
      </c>
      <c r="AV152" s="109">
        <f t="shared" si="139"/>
        <v>0</v>
      </c>
      <c r="AW152" s="109">
        <f t="shared" si="139"/>
        <v>0</v>
      </c>
      <c r="AX152" s="109">
        <f t="shared" si="139"/>
        <v>0</v>
      </c>
      <c r="AY152" s="109">
        <f t="shared" si="139"/>
        <v>0</v>
      </c>
      <c r="AZ152" s="109">
        <f t="shared" si="139"/>
        <v>0</v>
      </c>
      <c r="BA152" s="109">
        <f t="shared" si="139"/>
        <v>0</v>
      </c>
      <c r="BB152" s="109">
        <f t="shared" si="139"/>
        <v>0</v>
      </c>
      <c r="BC152" s="109">
        <f t="shared" si="139"/>
        <v>0</v>
      </c>
      <c r="BD152" s="109">
        <f t="shared" si="139"/>
        <v>0</v>
      </c>
      <c r="BE152" s="109">
        <f t="shared" si="139"/>
        <v>0</v>
      </c>
      <c r="BF152" s="109">
        <f t="shared" si="139"/>
        <v>0</v>
      </c>
      <c r="BG152" s="109">
        <f t="shared" si="139"/>
        <v>0</v>
      </c>
      <c r="BH152" s="109">
        <f t="shared" si="139"/>
        <v>0</v>
      </c>
      <c r="BI152" s="109">
        <f t="shared" si="139"/>
        <v>0</v>
      </c>
      <c r="BJ152" s="109">
        <f t="shared" si="139"/>
        <v>0</v>
      </c>
      <c r="BK152" s="109">
        <f t="shared" si="139"/>
        <v>0</v>
      </c>
      <c r="BL152" s="109">
        <f t="shared" si="139"/>
        <v>0</v>
      </c>
      <c r="BM152" s="109">
        <f t="shared" si="139"/>
        <v>0</v>
      </c>
      <c r="BN152" s="109">
        <f t="shared" si="139"/>
        <v>0</v>
      </c>
      <c r="BO152" s="109">
        <f t="shared" ref="BO152:CT152" si="140">BO149-SUM(BO150:BO151)</f>
        <v>0</v>
      </c>
      <c r="BP152" s="109">
        <f t="shared" si="140"/>
        <v>0</v>
      </c>
      <c r="BQ152" s="109">
        <f t="shared" si="140"/>
        <v>0</v>
      </c>
      <c r="BR152" s="109">
        <f t="shared" si="140"/>
        <v>0</v>
      </c>
      <c r="BS152" s="109">
        <f t="shared" si="140"/>
        <v>0</v>
      </c>
      <c r="BT152" s="109">
        <f t="shared" si="140"/>
        <v>0</v>
      </c>
      <c r="BU152" s="109">
        <f t="shared" si="140"/>
        <v>0</v>
      </c>
      <c r="BV152" s="109">
        <f t="shared" si="140"/>
        <v>0</v>
      </c>
      <c r="BW152" s="109">
        <f t="shared" si="140"/>
        <v>0</v>
      </c>
      <c r="BX152" s="109">
        <f t="shared" si="140"/>
        <v>0</v>
      </c>
      <c r="BY152" s="109">
        <f t="shared" si="140"/>
        <v>0</v>
      </c>
      <c r="BZ152" s="109">
        <f t="shared" si="140"/>
        <v>0</v>
      </c>
      <c r="CA152" s="109">
        <f t="shared" si="140"/>
        <v>0</v>
      </c>
      <c r="CB152" s="109">
        <f t="shared" si="140"/>
        <v>0</v>
      </c>
      <c r="CC152" s="109">
        <f t="shared" si="140"/>
        <v>0</v>
      </c>
      <c r="CD152" s="109">
        <f t="shared" si="140"/>
        <v>0</v>
      </c>
      <c r="CE152" s="109">
        <f t="shared" si="140"/>
        <v>0</v>
      </c>
      <c r="CF152" s="109">
        <f t="shared" si="140"/>
        <v>0</v>
      </c>
      <c r="CG152" s="109">
        <f t="shared" si="140"/>
        <v>0</v>
      </c>
      <c r="CH152" s="109">
        <f t="shared" si="140"/>
        <v>0</v>
      </c>
      <c r="CI152" s="109">
        <f t="shared" si="140"/>
        <v>0</v>
      </c>
      <c r="CJ152" s="109">
        <f t="shared" si="140"/>
        <v>0</v>
      </c>
      <c r="CK152" s="109">
        <f t="shared" si="140"/>
        <v>0</v>
      </c>
      <c r="CL152" s="109">
        <f t="shared" si="140"/>
        <v>0</v>
      </c>
      <c r="CM152" s="109">
        <f t="shared" si="140"/>
        <v>0</v>
      </c>
      <c r="CN152" s="109">
        <f t="shared" si="140"/>
        <v>0</v>
      </c>
      <c r="CO152" s="109">
        <f t="shared" si="140"/>
        <v>0</v>
      </c>
      <c r="CP152" s="109">
        <f t="shared" si="140"/>
        <v>0</v>
      </c>
      <c r="CQ152" s="109">
        <f t="shared" si="140"/>
        <v>0</v>
      </c>
      <c r="CR152" s="109">
        <f t="shared" si="140"/>
        <v>0</v>
      </c>
      <c r="CS152" s="109">
        <f t="shared" si="140"/>
        <v>0</v>
      </c>
      <c r="CT152" s="109">
        <f t="shared" si="140"/>
        <v>0</v>
      </c>
      <c r="CU152" s="109">
        <f t="shared" ref="CU152:CX152" si="141">CU149-SUM(CU150:CU151)</f>
        <v>0</v>
      </c>
      <c r="CV152" s="109">
        <f t="shared" si="141"/>
        <v>0</v>
      </c>
      <c r="CW152" s="109">
        <f t="shared" si="141"/>
        <v>0</v>
      </c>
      <c r="CX152" s="109">
        <f t="shared" si="141"/>
        <v>0</v>
      </c>
    </row>
    <row r="153" spans="1:102" ht="20" customHeight="1">
      <c r="A153" s="170">
        <f t="shared" si="131"/>
        <v>57068438.293291405</v>
      </c>
      <c r="B153" s="95" t="s">
        <v>164</v>
      </c>
      <c r="C153" s="109">
        <f>C152*$C$29</f>
        <v>0</v>
      </c>
      <c r="D153" s="109">
        <f>D152*$C$29</f>
        <v>0</v>
      </c>
      <c r="E153" s="109">
        <f>E152*$C$29</f>
        <v>915705.97885732213</v>
      </c>
      <c r="F153" s="109">
        <f>F152*$C$29</f>
        <v>228953.57408384935</v>
      </c>
      <c r="G153" s="109">
        <f t="shared" ref="G153:BO153" si="142">G152*$C$29</f>
        <v>267545.43008021475</v>
      </c>
      <c r="H153" s="109">
        <f t="shared" si="142"/>
        <v>307024.89876449632</v>
      </c>
      <c r="I153" s="109">
        <f t="shared" si="142"/>
        <v>347412.39522851526</v>
      </c>
      <c r="J153" s="109">
        <f t="shared" si="142"/>
        <v>388728.80411120964</v>
      </c>
      <c r="K153" s="109">
        <f t="shared" si="142"/>
        <v>430995.49039820425</v>
      </c>
      <c r="L153" s="109">
        <f t="shared" si="142"/>
        <v>474234.31046979927</v>
      </c>
      <c r="M153" s="109">
        <f t="shared" si="142"/>
        <v>518467.62340304017</v>
      </c>
      <c r="N153" s="109">
        <f t="shared" si="142"/>
        <v>563718.30253374774</v>
      </c>
      <c r="O153" s="109">
        <f t="shared" si="142"/>
        <v>1334486.3514678702</v>
      </c>
      <c r="P153" s="109">
        <f t="shared" si="142"/>
        <v>2106319.1036312594</v>
      </c>
      <c r="Q153" s="109">
        <f t="shared" si="142"/>
        <v>2154764.4430147782</v>
      </c>
      <c r="R153" s="109">
        <f t="shared" si="142"/>
        <v>2204324.0252041183</v>
      </c>
      <c r="S153" s="109">
        <f t="shared" si="142"/>
        <v>2255023.4777838122</v>
      </c>
      <c r="T153" s="109">
        <f t="shared" si="142"/>
        <v>2306889.0177728394</v>
      </c>
      <c r="U153" s="109">
        <f t="shared" si="142"/>
        <v>2359947.4651816147</v>
      </c>
      <c r="V153" s="109">
        <f t="shared" si="142"/>
        <v>2414226.2568807914</v>
      </c>
      <c r="W153" s="109">
        <f t="shared" si="142"/>
        <v>2469753.46078905</v>
      </c>
      <c r="X153" s="109">
        <f t="shared" si="142"/>
        <v>2526557.7903871969</v>
      </c>
      <c r="Y153" s="109">
        <f t="shared" si="142"/>
        <v>2584668.6195661025</v>
      </c>
      <c r="Z153" s="109">
        <f t="shared" si="142"/>
        <v>2644115.9978161221</v>
      </c>
      <c r="AA153" s="109">
        <f t="shared" si="142"/>
        <v>2704930.6657658932</v>
      </c>
      <c r="AB153" s="109">
        <f t="shared" si="142"/>
        <v>2767144.0710785096</v>
      </c>
      <c r="AC153" s="109">
        <f t="shared" si="142"/>
        <v>2830788.3847133145</v>
      </c>
      <c r="AD153" s="109">
        <f t="shared" si="142"/>
        <v>2895896.5175617207</v>
      </c>
      <c r="AE153" s="109">
        <f t="shared" si="142"/>
        <v>2962502.13746564</v>
      </c>
      <c r="AF153" s="109">
        <f t="shared" si="142"/>
        <v>3030639.6866273489</v>
      </c>
      <c r="AG153" s="109">
        <f t="shared" si="142"/>
        <v>3100344.399419778</v>
      </c>
      <c r="AH153" s="109">
        <f t="shared" si="142"/>
        <v>4972329.6132332459</v>
      </c>
      <c r="AI153" s="109">
        <f t="shared" si="142"/>
        <v>0</v>
      </c>
      <c r="AJ153" s="109">
        <f t="shared" si="142"/>
        <v>0</v>
      </c>
      <c r="AK153" s="109">
        <f t="shared" si="142"/>
        <v>0</v>
      </c>
      <c r="AL153" s="109">
        <f t="shared" si="142"/>
        <v>0</v>
      </c>
      <c r="AM153" s="109">
        <f t="shared" si="142"/>
        <v>0</v>
      </c>
      <c r="AN153" s="109">
        <f t="shared" si="142"/>
        <v>0</v>
      </c>
      <c r="AO153" s="109">
        <f t="shared" si="142"/>
        <v>0</v>
      </c>
      <c r="AP153" s="109">
        <f t="shared" si="142"/>
        <v>0</v>
      </c>
      <c r="AQ153" s="109">
        <f t="shared" si="142"/>
        <v>0</v>
      </c>
      <c r="AR153" s="109">
        <f t="shared" si="142"/>
        <v>0</v>
      </c>
      <c r="AS153" s="109">
        <f t="shared" si="142"/>
        <v>0</v>
      </c>
      <c r="AT153" s="109">
        <f t="shared" si="142"/>
        <v>0</v>
      </c>
      <c r="AU153" s="109">
        <f t="shared" si="142"/>
        <v>0</v>
      </c>
      <c r="AV153" s="109">
        <f t="shared" si="142"/>
        <v>0</v>
      </c>
      <c r="AW153" s="109">
        <f t="shared" si="142"/>
        <v>0</v>
      </c>
      <c r="AX153" s="109">
        <f t="shared" si="142"/>
        <v>0</v>
      </c>
      <c r="AY153" s="109">
        <f t="shared" si="142"/>
        <v>0</v>
      </c>
      <c r="AZ153" s="109">
        <f t="shared" si="142"/>
        <v>0</v>
      </c>
      <c r="BA153" s="109">
        <f t="shared" si="142"/>
        <v>0</v>
      </c>
      <c r="BB153" s="109">
        <f t="shared" si="142"/>
        <v>0</v>
      </c>
      <c r="BC153" s="109">
        <f t="shared" si="142"/>
        <v>0</v>
      </c>
      <c r="BD153" s="109">
        <f t="shared" si="142"/>
        <v>0</v>
      </c>
      <c r="BE153" s="109">
        <f t="shared" si="142"/>
        <v>0</v>
      </c>
      <c r="BF153" s="109">
        <f t="shared" si="142"/>
        <v>0</v>
      </c>
      <c r="BG153" s="109">
        <f t="shared" si="142"/>
        <v>0</v>
      </c>
      <c r="BH153" s="109">
        <f t="shared" si="142"/>
        <v>0</v>
      </c>
      <c r="BI153" s="109">
        <f t="shared" si="142"/>
        <v>0</v>
      </c>
      <c r="BJ153" s="109">
        <f t="shared" si="142"/>
        <v>0</v>
      </c>
      <c r="BK153" s="109">
        <f t="shared" si="142"/>
        <v>0</v>
      </c>
      <c r="BL153" s="109">
        <f t="shared" si="142"/>
        <v>0</v>
      </c>
      <c r="BM153" s="109">
        <f t="shared" si="142"/>
        <v>0</v>
      </c>
      <c r="BN153" s="109">
        <f t="shared" si="142"/>
        <v>0</v>
      </c>
      <c r="BO153" s="109">
        <f t="shared" si="142"/>
        <v>0</v>
      </c>
      <c r="BP153" s="109">
        <f t="shared" ref="BP153:CX153" si="143">BP152*$C$29</f>
        <v>0</v>
      </c>
      <c r="BQ153" s="109">
        <f t="shared" si="143"/>
        <v>0</v>
      </c>
      <c r="BR153" s="109">
        <f t="shared" si="143"/>
        <v>0</v>
      </c>
      <c r="BS153" s="109">
        <f t="shared" si="143"/>
        <v>0</v>
      </c>
      <c r="BT153" s="109">
        <f t="shared" si="143"/>
        <v>0</v>
      </c>
      <c r="BU153" s="109">
        <f t="shared" si="143"/>
        <v>0</v>
      </c>
      <c r="BV153" s="109">
        <f t="shared" si="143"/>
        <v>0</v>
      </c>
      <c r="BW153" s="109">
        <f t="shared" si="143"/>
        <v>0</v>
      </c>
      <c r="BX153" s="109">
        <f t="shared" si="143"/>
        <v>0</v>
      </c>
      <c r="BY153" s="109">
        <f t="shared" si="143"/>
        <v>0</v>
      </c>
      <c r="BZ153" s="109">
        <f t="shared" si="143"/>
        <v>0</v>
      </c>
      <c r="CA153" s="109">
        <f t="shared" si="143"/>
        <v>0</v>
      </c>
      <c r="CB153" s="109">
        <f t="shared" si="143"/>
        <v>0</v>
      </c>
      <c r="CC153" s="109">
        <f t="shared" si="143"/>
        <v>0</v>
      </c>
      <c r="CD153" s="109">
        <f t="shared" si="143"/>
        <v>0</v>
      </c>
      <c r="CE153" s="109">
        <f t="shared" si="143"/>
        <v>0</v>
      </c>
      <c r="CF153" s="109">
        <f t="shared" si="143"/>
        <v>0</v>
      </c>
      <c r="CG153" s="109">
        <f t="shared" si="143"/>
        <v>0</v>
      </c>
      <c r="CH153" s="109">
        <f t="shared" si="143"/>
        <v>0</v>
      </c>
      <c r="CI153" s="109">
        <f t="shared" si="143"/>
        <v>0</v>
      </c>
      <c r="CJ153" s="109">
        <f t="shared" si="143"/>
        <v>0</v>
      </c>
      <c r="CK153" s="109">
        <f t="shared" si="143"/>
        <v>0</v>
      </c>
      <c r="CL153" s="109">
        <f t="shared" si="143"/>
        <v>0</v>
      </c>
      <c r="CM153" s="109">
        <f t="shared" si="143"/>
        <v>0</v>
      </c>
      <c r="CN153" s="109">
        <f t="shared" si="143"/>
        <v>0</v>
      </c>
      <c r="CO153" s="109">
        <f t="shared" si="143"/>
        <v>0</v>
      </c>
      <c r="CP153" s="109">
        <f t="shared" si="143"/>
        <v>0</v>
      </c>
      <c r="CQ153" s="109">
        <f t="shared" si="143"/>
        <v>0</v>
      </c>
      <c r="CR153" s="109">
        <f t="shared" si="143"/>
        <v>0</v>
      </c>
      <c r="CS153" s="109">
        <f t="shared" si="143"/>
        <v>0</v>
      </c>
      <c r="CT153" s="109">
        <f t="shared" si="143"/>
        <v>0</v>
      </c>
      <c r="CU153" s="109">
        <f t="shared" si="143"/>
        <v>0</v>
      </c>
      <c r="CV153" s="109">
        <f t="shared" si="143"/>
        <v>0</v>
      </c>
      <c r="CW153" s="109">
        <f t="shared" si="143"/>
        <v>0</v>
      </c>
      <c r="CX153" s="109">
        <f t="shared" si="143"/>
        <v>0</v>
      </c>
    </row>
    <row r="154" spans="1:102" ht="20" customHeight="1">
      <c r="A154" s="170">
        <f>SUM(C154:CX154)</f>
        <v>55290368.075051546</v>
      </c>
      <c r="B154" s="95" t="s">
        <v>165</v>
      </c>
      <c r="C154" s="191">
        <f t="shared" ref="C154:AH154" si="144">C113</f>
        <v>16985080.777353227</v>
      </c>
      <c r="D154" s="191">
        <f t="shared" si="144"/>
        <v>38305287.297698319</v>
      </c>
      <c r="E154" s="191">
        <f t="shared" si="144"/>
        <v>0</v>
      </c>
      <c r="F154" s="191">
        <f t="shared" si="144"/>
        <v>0</v>
      </c>
      <c r="G154" s="191">
        <f t="shared" si="144"/>
        <v>0</v>
      </c>
      <c r="H154" s="191">
        <f t="shared" si="144"/>
        <v>0</v>
      </c>
      <c r="I154" s="191">
        <f t="shared" si="144"/>
        <v>0</v>
      </c>
      <c r="J154" s="191">
        <f t="shared" si="144"/>
        <v>0</v>
      </c>
      <c r="K154" s="191">
        <f t="shared" si="144"/>
        <v>0</v>
      </c>
      <c r="L154" s="191">
        <f t="shared" si="144"/>
        <v>0</v>
      </c>
      <c r="M154" s="191">
        <f t="shared" si="144"/>
        <v>0</v>
      </c>
      <c r="N154" s="191">
        <f t="shared" si="144"/>
        <v>0</v>
      </c>
      <c r="O154" s="191">
        <f t="shared" si="144"/>
        <v>0</v>
      </c>
      <c r="P154" s="191">
        <f t="shared" si="144"/>
        <v>0</v>
      </c>
      <c r="Q154" s="191">
        <f t="shared" si="144"/>
        <v>0</v>
      </c>
      <c r="R154" s="191">
        <f t="shared" si="144"/>
        <v>0</v>
      </c>
      <c r="S154" s="191">
        <f t="shared" si="144"/>
        <v>0</v>
      </c>
      <c r="T154" s="191">
        <f t="shared" si="144"/>
        <v>0</v>
      </c>
      <c r="U154" s="191">
        <f t="shared" si="144"/>
        <v>0</v>
      </c>
      <c r="V154" s="191">
        <f t="shared" si="144"/>
        <v>0</v>
      </c>
      <c r="W154" s="191">
        <f t="shared" si="144"/>
        <v>0</v>
      </c>
      <c r="X154" s="191">
        <f t="shared" si="144"/>
        <v>0</v>
      </c>
      <c r="Y154" s="191">
        <f t="shared" si="144"/>
        <v>0</v>
      </c>
      <c r="Z154" s="191">
        <f t="shared" si="144"/>
        <v>0</v>
      </c>
      <c r="AA154" s="191">
        <f t="shared" si="144"/>
        <v>0</v>
      </c>
      <c r="AB154" s="191">
        <f t="shared" si="144"/>
        <v>0</v>
      </c>
      <c r="AC154" s="191">
        <f t="shared" si="144"/>
        <v>0</v>
      </c>
      <c r="AD154" s="191">
        <f t="shared" si="144"/>
        <v>0</v>
      </c>
      <c r="AE154" s="191">
        <f t="shared" si="144"/>
        <v>0</v>
      </c>
      <c r="AF154" s="191">
        <f t="shared" si="144"/>
        <v>0</v>
      </c>
      <c r="AG154" s="191">
        <f t="shared" si="144"/>
        <v>0</v>
      </c>
      <c r="AH154" s="191">
        <f t="shared" si="144"/>
        <v>0</v>
      </c>
      <c r="AI154" s="191">
        <f t="shared" ref="AI154:BN154" si="145">AI113</f>
        <v>0</v>
      </c>
      <c r="AJ154" s="191">
        <f t="shared" si="145"/>
        <v>0</v>
      </c>
      <c r="AK154" s="191">
        <f t="shared" si="145"/>
        <v>0</v>
      </c>
      <c r="AL154" s="191">
        <f t="shared" si="145"/>
        <v>0</v>
      </c>
      <c r="AM154" s="191">
        <f t="shared" si="145"/>
        <v>0</v>
      </c>
      <c r="AN154" s="191">
        <f t="shared" si="145"/>
        <v>0</v>
      </c>
      <c r="AO154" s="191">
        <f t="shared" si="145"/>
        <v>0</v>
      </c>
      <c r="AP154" s="191">
        <f t="shared" si="145"/>
        <v>0</v>
      </c>
      <c r="AQ154" s="191">
        <f t="shared" si="145"/>
        <v>0</v>
      </c>
      <c r="AR154" s="191">
        <f t="shared" si="145"/>
        <v>0</v>
      </c>
      <c r="AS154" s="191">
        <f t="shared" si="145"/>
        <v>0</v>
      </c>
      <c r="AT154" s="191">
        <f t="shared" si="145"/>
        <v>0</v>
      </c>
      <c r="AU154" s="191">
        <f t="shared" si="145"/>
        <v>0</v>
      </c>
      <c r="AV154" s="191">
        <f t="shared" si="145"/>
        <v>0</v>
      </c>
      <c r="AW154" s="191">
        <f t="shared" si="145"/>
        <v>0</v>
      </c>
      <c r="AX154" s="191">
        <f t="shared" si="145"/>
        <v>0</v>
      </c>
      <c r="AY154" s="191">
        <f t="shared" si="145"/>
        <v>0</v>
      </c>
      <c r="AZ154" s="191">
        <f t="shared" si="145"/>
        <v>0</v>
      </c>
      <c r="BA154" s="191">
        <f t="shared" si="145"/>
        <v>0</v>
      </c>
      <c r="BB154" s="191">
        <f t="shared" si="145"/>
        <v>0</v>
      </c>
      <c r="BC154" s="191">
        <f t="shared" si="145"/>
        <v>0</v>
      </c>
      <c r="BD154" s="191">
        <f t="shared" si="145"/>
        <v>0</v>
      </c>
      <c r="BE154" s="191">
        <f t="shared" si="145"/>
        <v>0</v>
      </c>
      <c r="BF154" s="191">
        <f t="shared" si="145"/>
        <v>0</v>
      </c>
      <c r="BG154" s="191">
        <f t="shared" si="145"/>
        <v>0</v>
      </c>
      <c r="BH154" s="191">
        <f t="shared" si="145"/>
        <v>0</v>
      </c>
      <c r="BI154" s="191">
        <f t="shared" si="145"/>
        <v>0</v>
      </c>
      <c r="BJ154" s="191">
        <f t="shared" si="145"/>
        <v>0</v>
      </c>
      <c r="BK154" s="191">
        <f t="shared" si="145"/>
        <v>0</v>
      </c>
      <c r="BL154" s="191">
        <f t="shared" si="145"/>
        <v>0</v>
      </c>
      <c r="BM154" s="191">
        <f t="shared" si="145"/>
        <v>0</v>
      </c>
      <c r="BN154" s="191">
        <f t="shared" si="145"/>
        <v>0</v>
      </c>
      <c r="BO154" s="191">
        <f t="shared" ref="BO154:CX154" si="146">BO113</f>
        <v>0</v>
      </c>
      <c r="BP154" s="191">
        <f t="shared" si="146"/>
        <v>0</v>
      </c>
      <c r="BQ154" s="191">
        <f t="shared" si="146"/>
        <v>0</v>
      </c>
      <c r="BR154" s="191">
        <f t="shared" si="146"/>
        <v>0</v>
      </c>
      <c r="BS154" s="191">
        <f t="shared" si="146"/>
        <v>0</v>
      </c>
      <c r="BT154" s="191">
        <f t="shared" si="146"/>
        <v>0</v>
      </c>
      <c r="BU154" s="191">
        <f t="shared" si="146"/>
        <v>0</v>
      </c>
      <c r="BV154" s="191">
        <f t="shared" si="146"/>
        <v>0</v>
      </c>
      <c r="BW154" s="191">
        <f t="shared" si="146"/>
        <v>0</v>
      </c>
      <c r="BX154" s="191">
        <f t="shared" si="146"/>
        <v>0</v>
      </c>
      <c r="BY154" s="191">
        <f t="shared" si="146"/>
        <v>0</v>
      </c>
      <c r="BZ154" s="191">
        <f t="shared" si="146"/>
        <v>0</v>
      </c>
      <c r="CA154" s="191">
        <f t="shared" si="146"/>
        <v>0</v>
      </c>
      <c r="CB154" s="191">
        <f t="shared" si="146"/>
        <v>0</v>
      </c>
      <c r="CC154" s="191">
        <f t="shared" si="146"/>
        <v>0</v>
      </c>
      <c r="CD154" s="191">
        <f t="shared" si="146"/>
        <v>0</v>
      </c>
      <c r="CE154" s="191">
        <f t="shared" si="146"/>
        <v>0</v>
      </c>
      <c r="CF154" s="191">
        <f t="shared" si="146"/>
        <v>0</v>
      </c>
      <c r="CG154" s="191">
        <f t="shared" si="146"/>
        <v>0</v>
      </c>
      <c r="CH154" s="191">
        <f t="shared" si="146"/>
        <v>0</v>
      </c>
      <c r="CI154" s="191">
        <f t="shared" si="146"/>
        <v>0</v>
      </c>
      <c r="CJ154" s="191">
        <f t="shared" si="146"/>
        <v>0</v>
      </c>
      <c r="CK154" s="191">
        <f t="shared" si="146"/>
        <v>0</v>
      </c>
      <c r="CL154" s="191">
        <f t="shared" si="146"/>
        <v>0</v>
      </c>
      <c r="CM154" s="191">
        <f t="shared" si="146"/>
        <v>0</v>
      </c>
      <c r="CN154" s="191">
        <f t="shared" si="146"/>
        <v>0</v>
      </c>
      <c r="CO154" s="191">
        <f t="shared" si="146"/>
        <v>0</v>
      </c>
      <c r="CP154" s="191">
        <f t="shared" si="146"/>
        <v>0</v>
      </c>
      <c r="CQ154" s="191">
        <f t="shared" si="146"/>
        <v>0</v>
      </c>
      <c r="CR154" s="191">
        <f t="shared" si="146"/>
        <v>0</v>
      </c>
      <c r="CS154" s="191">
        <f t="shared" si="146"/>
        <v>0</v>
      </c>
      <c r="CT154" s="191">
        <f t="shared" si="146"/>
        <v>0</v>
      </c>
      <c r="CU154" s="191">
        <f t="shared" si="146"/>
        <v>0</v>
      </c>
      <c r="CV154" s="191">
        <f t="shared" si="146"/>
        <v>0</v>
      </c>
      <c r="CW154" s="191">
        <f t="shared" si="146"/>
        <v>0</v>
      </c>
      <c r="CX154" s="191">
        <f t="shared" si="146"/>
        <v>0</v>
      </c>
    </row>
    <row r="155" spans="1:102" ht="20" customHeight="1">
      <c r="A155" s="170">
        <f t="shared" si="131"/>
        <v>160698080.35508984</v>
      </c>
      <c r="B155" s="95" t="s">
        <v>166</v>
      </c>
      <c r="C155" s="109">
        <f>C149-(C150+C153+C154)</f>
        <v>-16985080.777353227</v>
      </c>
      <c r="D155" s="109">
        <f>D149-(D150+D153+D154)</f>
        <v>-38305287.297698319</v>
      </c>
      <c r="E155" s="109">
        <f>E149-(E150+E153+E154)</f>
        <v>5343039.8662778363</v>
      </c>
      <c r="F155" s="109">
        <f t="shared" ref="F155:AH155" si="147">F149-(F150+F153+F154)</f>
        <v>6173743.4254894163</v>
      </c>
      <c r="G155" s="109">
        <f t="shared" si="147"/>
        <v>6282413.6004832368</v>
      </c>
      <c r="H155" s="109">
        <f t="shared" si="147"/>
        <v>6393583.1895019133</v>
      </c>
      <c r="I155" s="109">
        <f t="shared" si="147"/>
        <v>6507309.6790680196</v>
      </c>
      <c r="J155" s="109">
        <f t="shared" si="147"/>
        <v>6623651.8778941501</v>
      </c>
      <c r="K155" s="109">
        <f t="shared" si="147"/>
        <v>6742669.947293276</v>
      </c>
      <c r="L155" s="109">
        <f t="shared" si="147"/>
        <v>6864425.4322885852</v>
      </c>
      <c r="M155" s="109">
        <f t="shared" si="147"/>
        <v>6988981.2934387811</v>
      </c>
      <c r="N155" s="109">
        <f t="shared" si="147"/>
        <v>7116401.9393954389</v>
      </c>
      <c r="O155" s="109">
        <f t="shared" si="147"/>
        <v>6522276.6560256872</v>
      </c>
      <c r="P155" s="109">
        <f t="shared" si="147"/>
        <v>5931149.4530346487</v>
      </c>
      <c r="Q155" s="109">
        <f t="shared" si="147"/>
        <v>6067565.890454445</v>
      </c>
      <c r="R155" s="109">
        <f t="shared" si="147"/>
        <v>6207119.9059348982</v>
      </c>
      <c r="S155" s="109">
        <f t="shared" si="147"/>
        <v>6349883.6637713984</v>
      </c>
      <c r="T155" s="109">
        <f t="shared" si="147"/>
        <v>6495930.9880381376</v>
      </c>
      <c r="U155" s="109">
        <f t="shared" si="147"/>
        <v>6645337.4007630162</v>
      </c>
      <c r="V155" s="109">
        <f t="shared" si="147"/>
        <v>6798180.1609805636</v>
      </c>
      <c r="W155" s="109">
        <f t="shared" si="147"/>
        <v>6954538.3046831191</v>
      </c>
      <c r="X155" s="109">
        <f t="shared" si="147"/>
        <v>7114492.6856908277</v>
      </c>
      <c r="Y155" s="109">
        <f t="shared" si="147"/>
        <v>7278126.0174617171</v>
      </c>
      <c r="Z155" s="109">
        <f t="shared" si="147"/>
        <v>7445522.9158633351</v>
      </c>
      <c r="AA155" s="109">
        <f t="shared" si="147"/>
        <v>7616769.9429281913</v>
      </c>
      <c r="AB155" s="109">
        <f t="shared" si="147"/>
        <v>7791955.6516155414</v>
      </c>
      <c r="AC155" s="109">
        <f t="shared" si="147"/>
        <v>7971170.6316026971</v>
      </c>
      <c r="AD155" s="109">
        <f t="shared" si="147"/>
        <v>8154507.5561295599</v>
      </c>
      <c r="AE155" s="109">
        <f t="shared" si="147"/>
        <v>8342061.2299205363</v>
      </c>
      <c r="AF155" s="109">
        <f t="shared" si="147"/>
        <v>8533928.6382087059</v>
      </c>
      <c r="AG155" s="109">
        <f t="shared" si="147"/>
        <v>8730208.9968875088</v>
      </c>
      <c r="AH155" s="109">
        <f t="shared" si="147"/>
        <v>14001501.489016209</v>
      </c>
      <c r="AI155" s="109">
        <f t="shared" ref="AI155:BN155" si="148">AI149-(AI150+AI153+AI154)</f>
        <v>0</v>
      </c>
      <c r="AJ155" s="109">
        <f t="shared" si="148"/>
        <v>0</v>
      </c>
      <c r="AK155" s="109">
        <f t="shared" si="148"/>
        <v>0</v>
      </c>
      <c r="AL155" s="109">
        <f t="shared" si="148"/>
        <v>0</v>
      </c>
      <c r="AM155" s="109">
        <f t="shared" si="148"/>
        <v>0</v>
      </c>
      <c r="AN155" s="109">
        <f t="shared" si="148"/>
        <v>0</v>
      </c>
      <c r="AO155" s="109">
        <f t="shared" si="148"/>
        <v>0</v>
      </c>
      <c r="AP155" s="109">
        <f t="shared" si="148"/>
        <v>0</v>
      </c>
      <c r="AQ155" s="109">
        <f t="shared" si="148"/>
        <v>0</v>
      </c>
      <c r="AR155" s="109">
        <f t="shared" si="148"/>
        <v>0</v>
      </c>
      <c r="AS155" s="109">
        <f t="shared" si="148"/>
        <v>0</v>
      </c>
      <c r="AT155" s="109">
        <f t="shared" si="148"/>
        <v>0</v>
      </c>
      <c r="AU155" s="109">
        <f t="shared" si="148"/>
        <v>0</v>
      </c>
      <c r="AV155" s="109">
        <f t="shared" si="148"/>
        <v>0</v>
      </c>
      <c r="AW155" s="109">
        <f t="shared" si="148"/>
        <v>0</v>
      </c>
      <c r="AX155" s="109">
        <f t="shared" si="148"/>
        <v>0</v>
      </c>
      <c r="AY155" s="109">
        <f t="shared" si="148"/>
        <v>0</v>
      </c>
      <c r="AZ155" s="109">
        <f t="shared" si="148"/>
        <v>0</v>
      </c>
      <c r="BA155" s="109">
        <f t="shared" si="148"/>
        <v>0</v>
      </c>
      <c r="BB155" s="109">
        <f t="shared" si="148"/>
        <v>0</v>
      </c>
      <c r="BC155" s="109">
        <f t="shared" si="148"/>
        <v>0</v>
      </c>
      <c r="BD155" s="109">
        <f t="shared" si="148"/>
        <v>0</v>
      </c>
      <c r="BE155" s="109">
        <f t="shared" si="148"/>
        <v>0</v>
      </c>
      <c r="BF155" s="109">
        <f t="shared" si="148"/>
        <v>0</v>
      </c>
      <c r="BG155" s="109">
        <f t="shared" si="148"/>
        <v>0</v>
      </c>
      <c r="BH155" s="109">
        <f t="shared" si="148"/>
        <v>0</v>
      </c>
      <c r="BI155" s="109">
        <f t="shared" si="148"/>
        <v>0</v>
      </c>
      <c r="BJ155" s="109">
        <f t="shared" si="148"/>
        <v>0</v>
      </c>
      <c r="BK155" s="109">
        <f t="shared" si="148"/>
        <v>0</v>
      </c>
      <c r="BL155" s="109">
        <f t="shared" si="148"/>
        <v>0</v>
      </c>
      <c r="BM155" s="109">
        <f t="shared" si="148"/>
        <v>0</v>
      </c>
      <c r="BN155" s="109">
        <f t="shared" si="148"/>
        <v>0</v>
      </c>
      <c r="BO155" s="109">
        <f t="shared" ref="BO155:CT155" si="149">BO149-(BO150+BO153+BO154)</f>
        <v>0</v>
      </c>
      <c r="BP155" s="109">
        <f t="shared" si="149"/>
        <v>0</v>
      </c>
      <c r="BQ155" s="109">
        <f t="shared" si="149"/>
        <v>0</v>
      </c>
      <c r="BR155" s="109">
        <f t="shared" si="149"/>
        <v>0</v>
      </c>
      <c r="BS155" s="109">
        <f t="shared" si="149"/>
        <v>0</v>
      </c>
      <c r="BT155" s="109">
        <f t="shared" si="149"/>
        <v>0</v>
      </c>
      <c r="BU155" s="109">
        <f t="shared" si="149"/>
        <v>0</v>
      </c>
      <c r="BV155" s="109">
        <f t="shared" si="149"/>
        <v>0</v>
      </c>
      <c r="BW155" s="109">
        <f t="shared" si="149"/>
        <v>0</v>
      </c>
      <c r="BX155" s="109">
        <f t="shared" si="149"/>
        <v>0</v>
      </c>
      <c r="BY155" s="109">
        <f t="shared" si="149"/>
        <v>0</v>
      </c>
      <c r="BZ155" s="109">
        <f t="shared" si="149"/>
        <v>0</v>
      </c>
      <c r="CA155" s="109">
        <f t="shared" si="149"/>
        <v>0</v>
      </c>
      <c r="CB155" s="109">
        <f t="shared" si="149"/>
        <v>0</v>
      </c>
      <c r="CC155" s="109">
        <f t="shared" si="149"/>
        <v>0</v>
      </c>
      <c r="CD155" s="109">
        <f t="shared" si="149"/>
        <v>0</v>
      </c>
      <c r="CE155" s="109">
        <f t="shared" si="149"/>
        <v>0</v>
      </c>
      <c r="CF155" s="109">
        <f t="shared" si="149"/>
        <v>0</v>
      </c>
      <c r="CG155" s="109">
        <f t="shared" si="149"/>
        <v>0</v>
      </c>
      <c r="CH155" s="109">
        <f t="shared" si="149"/>
        <v>0</v>
      </c>
      <c r="CI155" s="109">
        <f t="shared" si="149"/>
        <v>0</v>
      </c>
      <c r="CJ155" s="109">
        <f t="shared" si="149"/>
        <v>0</v>
      </c>
      <c r="CK155" s="109">
        <f t="shared" si="149"/>
        <v>0</v>
      </c>
      <c r="CL155" s="109">
        <f t="shared" si="149"/>
        <v>0</v>
      </c>
      <c r="CM155" s="109">
        <f t="shared" si="149"/>
        <v>0</v>
      </c>
      <c r="CN155" s="109">
        <f t="shared" si="149"/>
        <v>0</v>
      </c>
      <c r="CO155" s="109">
        <f t="shared" si="149"/>
        <v>0</v>
      </c>
      <c r="CP155" s="109">
        <f t="shared" si="149"/>
        <v>0</v>
      </c>
      <c r="CQ155" s="109">
        <f t="shared" si="149"/>
        <v>0</v>
      </c>
      <c r="CR155" s="109">
        <f t="shared" si="149"/>
        <v>0</v>
      </c>
      <c r="CS155" s="109">
        <f t="shared" si="149"/>
        <v>0</v>
      </c>
      <c r="CT155" s="109">
        <f t="shared" si="149"/>
        <v>0</v>
      </c>
      <c r="CU155" s="109">
        <f t="shared" ref="CU155:CX155" si="150">CU149-(CU150+CU153+CU154)</f>
        <v>0</v>
      </c>
      <c r="CV155" s="109">
        <f t="shared" si="150"/>
        <v>0</v>
      </c>
      <c r="CW155" s="109">
        <f t="shared" si="150"/>
        <v>0</v>
      </c>
      <c r="CX155" s="109">
        <f t="shared" si="150"/>
        <v>0</v>
      </c>
    </row>
    <row r="156" spans="1:102" ht="20" customHeight="1">
      <c r="A156" s="170">
        <f t="shared" si="131"/>
        <v>0</v>
      </c>
      <c r="B156" s="95" t="s">
        <v>167</v>
      </c>
      <c r="C156" s="109">
        <v>0</v>
      </c>
      <c r="D156" s="109">
        <v>0</v>
      </c>
      <c r="E156" s="109">
        <v>0</v>
      </c>
      <c r="F156" s="109">
        <v>0</v>
      </c>
      <c r="G156" s="109">
        <v>0</v>
      </c>
      <c r="H156" s="109">
        <v>0</v>
      </c>
      <c r="I156" s="109">
        <v>0</v>
      </c>
      <c r="J156" s="109">
        <v>0</v>
      </c>
      <c r="K156" s="109">
        <v>0</v>
      </c>
      <c r="L156" s="109">
        <v>0</v>
      </c>
      <c r="M156" s="109">
        <v>0</v>
      </c>
      <c r="N156" s="109">
        <v>0</v>
      </c>
      <c r="O156" s="109">
        <v>0</v>
      </c>
      <c r="P156" s="109">
        <v>0</v>
      </c>
      <c r="Q156" s="109">
        <v>0</v>
      </c>
      <c r="R156" s="109">
        <v>0</v>
      </c>
      <c r="S156" s="109">
        <v>0</v>
      </c>
      <c r="T156" s="109">
        <v>0</v>
      </c>
      <c r="U156" s="109">
        <v>0</v>
      </c>
      <c r="V156" s="109">
        <v>0</v>
      </c>
      <c r="W156" s="109">
        <v>0</v>
      </c>
      <c r="X156" s="109">
        <v>0</v>
      </c>
      <c r="Y156" s="109">
        <v>0</v>
      </c>
      <c r="Z156" s="109">
        <v>0</v>
      </c>
      <c r="AA156" s="109">
        <v>0</v>
      </c>
      <c r="AB156" s="109">
        <v>0</v>
      </c>
      <c r="AC156" s="109">
        <v>0</v>
      </c>
      <c r="AD156" s="109">
        <v>0</v>
      </c>
      <c r="AE156" s="109">
        <v>0</v>
      </c>
      <c r="AF156" s="109">
        <v>0</v>
      </c>
      <c r="AG156" s="109">
        <v>0</v>
      </c>
      <c r="AH156" s="109">
        <v>0</v>
      </c>
      <c r="AI156" s="109">
        <v>0</v>
      </c>
      <c r="AJ156" s="109">
        <v>0</v>
      </c>
      <c r="AK156" s="109">
        <v>0</v>
      </c>
      <c r="AL156" s="109">
        <v>0</v>
      </c>
      <c r="AM156" s="109">
        <v>0</v>
      </c>
      <c r="AN156" s="109">
        <v>0</v>
      </c>
      <c r="AO156" s="109">
        <v>0</v>
      </c>
      <c r="AP156" s="109">
        <v>0</v>
      </c>
      <c r="AQ156" s="109">
        <v>0</v>
      </c>
      <c r="AR156" s="109">
        <v>0</v>
      </c>
      <c r="AS156" s="109">
        <v>0</v>
      </c>
      <c r="AT156" s="109">
        <v>0</v>
      </c>
      <c r="AU156" s="109">
        <v>0</v>
      </c>
      <c r="AV156" s="109">
        <v>0</v>
      </c>
      <c r="AW156" s="109">
        <v>0</v>
      </c>
      <c r="AX156" s="109">
        <v>0</v>
      </c>
      <c r="AY156" s="109">
        <v>0</v>
      </c>
      <c r="AZ156" s="109">
        <v>0</v>
      </c>
      <c r="BA156" s="109">
        <v>0</v>
      </c>
      <c r="BB156" s="109">
        <v>0</v>
      </c>
      <c r="BC156" s="109">
        <v>0</v>
      </c>
      <c r="BD156" s="109">
        <v>0</v>
      </c>
      <c r="BE156" s="109">
        <v>0</v>
      </c>
      <c r="BF156" s="109">
        <v>0</v>
      </c>
      <c r="BG156" s="109">
        <v>0</v>
      </c>
      <c r="BH156" s="109">
        <v>0</v>
      </c>
      <c r="BI156" s="109">
        <v>0</v>
      </c>
      <c r="BJ156" s="109">
        <v>0</v>
      </c>
      <c r="BK156" s="109">
        <v>0</v>
      </c>
      <c r="BL156" s="109">
        <v>0</v>
      </c>
      <c r="BM156" s="109">
        <v>0</v>
      </c>
      <c r="BN156" s="109">
        <v>0</v>
      </c>
      <c r="BO156" s="109">
        <v>0</v>
      </c>
      <c r="BP156" s="109">
        <v>0</v>
      </c>
      <c r="BQ156" s="109">
        <v>0</v>
      </c>
      <c r="BR156" s="109">
        <v>0</v>
      </c>
      <c r="BS156" s="109">
        <v>0</v>
      </c>
      <c r="BT156" s="109">
        <v>0</v>
      </c>
      <c r="BU156" s="109">
        <v>0</v>
      </c>
      <c r="BV156" s="109">
        <v>0</v>
      </c>
      <c r="BW156" s="109">
        <v>0</v>
      </c>
      <c r="BX156" s="109">
        <v>0</v>
      </c>
      <c r="BY156" s="109">
        <v>0</v>
      </c>
      <c r="BZ156" s="109">
        <v>0</v>
      </c>
      <c r="CA156" s="109">
        <v>0</v>
      </c>
      <c r="CB156" s="109">
        <v>0</v>
      </c>
      <c r="CC156" s="109">
        <v>0</v>
      </c>
      <c r="CD156" s="109">
        <v>0</v>
      </c>
      <c r="CE156" s="109">
        <v>0</v>
      </c>
      <c r="CF156" s="109">
        <v>0</v>
      </c>
      <c r="CG156" s="109">
        <v>0</v>
      </c>
      <c r="CH156" s="109">
        <v>0</v>
      </c>
      <c r="CI156" s="109">
        <v>0</v>
      </c>
      <c r="CJ156" s="109">
        <v>0</v>
      </c>
      <c r="CK156" s="109">
        <v>0</v>
      </c>
      <c r="CL156" s="109">
        <v>0</v>
      </c>
      <c r="CM156" s="109">
        <v>0</v>
      </c>
      <c r="CN156" s="109">
        <v>0</v>
      </c>
      <c r="CO156" s="109">
        <v>0</v>
      </c>
      <c r="CP156" s="109">
        <v>0</v>
      </c>
      <c r="CQ156" s="109">
        <v>0</v>
      </c>
      <c r="CR156" s="109">
        <v>0</v>
      </c>
      <c r="CS156" s="109">
        <v>0</v>
      </c>
      <c r="CT156" s="109">
        <v>0</v>
      </c>
      <c r="CU156" s="109">
        <v>0</v>
      </c>
      <c r="CV156" s="109">
        <v>0</v>
      </c>
      <c r="CW156" s="109">
        <v>0</v>
      </c>
      <c r="CX156" s="109">
        <v>0</v>
      </c>
    </row>
    <row r="157" spans="1:102" ht="20" customHeight="1">
      <c r="A157" s="170">
        <f t="shared" si="131"/>
        <v>160698080.35508984</v>
      </c>
      <c r="B157" s="95" t="s">
        <v>168</v>
      </c>
      <c r="C157" s="109">
        <f>C155-C156</f>
        <v>-16985080.777353227</v>
      </c>
      <c r="D157" s="109">
        <f>D155-D156</f>
        <v>-38305287.297698319</v>
      </c>
      <c r="E157" s="109">
        <f>E155-E156</f>
        <v>5343039.8662778363</v>
      </c>
      <c r="F157" s="109">
        <f t="shared" ref="F157:BP157" si="151">F155-F156</f>
        <v>6173743.4254894163</v>
      </c>
      <c r="G157" s="109">
        <f t="shared" si="151"/>
        <v>6282413.6004832368</v>
      </c>
      <c r="H157" s="109">
        <f>H155-H156</f>
        <v>6393583.1895019133</v>
      </c>
      <c r="I157" s="109">
        <f>I155-I156</f>
        <v>6507309.6790680196</v>
      </c>
      <c r="J157" s="109">
        <f t="shared" si="151"/>
        <v>6623651.8778941501</v>
      </c>
      <c r="K157" s="109">
        <f t="shared" si="151"/>
        <v>6742669.947293276</v>
      </c>
      <c r="L157" s="109">
        <f t="shared" si="151"/>
        <v>6864425.4322885852</v>
      </c>
      <c r="M157" s="109">
        <f t="shared" si="151"/>
        <v>6988981.2934387811</v>
      </c>
      <c r="N157" s="109">
        <f t="shared" si="151"/>
        <v>7116401.9393954389</v>
      </c>
      <c r="O157" s="109">
        <f t="shared" si="151"/>
        <v>6522276.6560256872</v>
      </c>
      <c r="P157" s="109">
        <f t="shared" si="151"/>
        <v>5931149.4530346487</v>
      </c>
      <c r="Q157" s="109">
        <f t="shared" si="151"/>
        <v>6067565.890454445</v>
      </c>
      <c r="R157" s="109">
        <f t="shared" si="151"/>
        <v>6207119.9059348982</v>
      </c>
      <c r="S157" s="109">
        <f t="shared" si="151"/>
        <v>6349883.6637713984</v>
      </c>
      <c r="T157" s="109">
        <f t="shared" si="151"/>
        <v>6495930.9880381376</v>
      </c>
      <c r="U157" s="109">
        <f t="shared" si="151"/>
        <v>6645337.4007630162</v>
      </c>
      <c r="V157" s="109">
        <f t="shared" si="151"/>
        <v>6798180.1609805636</v>
      </c>
      <c r="W157" s="109">
        <f t="shared" si="151"/>
        <v>6954538.3046831191</v>
      </c>
      <c r="X157" s="109">
        <f t="shared" si="151"/>
        <v>7114492.6856908277</v>
      </c>
      <c r="Y157" s="109">
        <f t="shared" si="151"/>
        <v>7278126.0174617171</v>
      </c>
      <c r="Z157" s="109">
        <f t="shared" si="151"/>
        <v>7445522.9158633351</v>
      </c>
      <c r="AA157" s="109">
        <f t="shared" si="151"/>
        <v>7616769.9429281913</v>
      </c>
      <c r="AB157" s="109">
        <f t="shared" si="151"/>
        <v>7791955.6516155414</v>
      </c>
      <c r="AC157" s="109">
        <f t="shared" si="151"/>
        <v>7971170.6316026971</v>
      </c>
      <c r="AD157" s="109">
        <f t="shared" si="151"/>
        <v>8154507.5561295599</v>
      </c>
      <c r="AE157" s="109">
        <f t="shared" si="151"/>
        <v>8342061.2299205363</v>
      </c>
      <c r="AF157" s="109">
        <f t="shared" si="151"/>
        <v>8533928.6382087059</v>
      </c>
      <c r="AG157" s="109">
        <f t="shared" si="151"/>
        <v>8730208.9968875088</v>
      </c>
      <c r="AH157" s="109">
        <f t="shared" si="151"/>
        <v>14001501.489016209</v>
      </c>
      <c r="AI157" s="109">
        <f t="shared" si="151"/>
        <v>0</v>
      </c>
      <c r="AJ157" s="109">
        <f t="shared" si="151"/>
        <v>0</v>
      </c>
      <c r="AK157" s="109">
        <f t="shared" si="151"/>
        <v>0</v>
      </c>
      <c r="AL157" s="109">
        <f t="shared" si="151"/>
        <v>0</v>
      </c>
      <c r="AM157" s="109">
        <f t="shared" si="151"/>
        <v>0</v>
      </c>
      <c r="AN157" s="109">
        <f t="shared" si="151"/>
        <v>0</v>
      </c>
      <c r="AO157" s="109">
        <f t="shared" si="151"/>
        <v>0</v>
      </c>
      <c r="AP157" s="109">
        <f t="shared" si="151"/>
        <v>0</v>
      </c>
      <c r="AQ157" s="109">
        <f t="shared" si="151"/>
        <v>0</v>
      </c>
      <c r="AR157" s="109">
        <f t="shared" si="151"/>
        <v>0</v>
      </c>
      <c r="AS157" s="109">
        <f t="shared" si="151"/>
        <v>0</v>
      </c>
      <c r="AT157" s="109">
        <f t="shared" si="151"/>
        <v>0</v>
      </c>
      <c r="AU157" s="109">
        <f t="shared" si="151"/>
        <v>0</v>
      </c>
      <c r="AV157" s="109">
        <f t="shared" si="151"/>
        <v>0</v>
      </c>
      <c r="AW157" s="109">
        <f t="shared" si="151"/>
        <v>0</v>
      </c>
      <c r="AX157" s="109">
        <f t="shared" si="151"/>
        <v>0</v>
      </c>
      <c r="AY157" s="109">
        <f t="shared" si="151"/>
        <v>0</v>
      </c>
      <c r="AZ157" s="109">
        <f t="shared" si="151"/>
        <v>0</v>
      </c>
      <c r="BA157" s="109">
        <f t="shared" si="151"/>
        <v>0</v>
      </c>
      <c r="BB157" s="109">
        <f t="shared" si="151"/>
        <v>0</v>
      </c>
      <c r="BC157" s="109">
        <f t="shared" si="151"/>
        <v>0</v>
      </c>
      <c r="BD157" s="109">
        <f t="shared" si="151"/>
        <v>0</v>
      </c>
      <c r="BE157" s="109">
        <f t="shared" si="151"/>
        <v>0</v>
      </c>
      <c r="BF157" s="109">
        <f t="shared" si="151"/>
        <v>0</v>
      </c>
      <c r="BG157" s="109">
        <f t="shared" si="151"/>
        <v>0</v>
      </c>
      <c r="BH157" s="109">
        <f t="shared" si="151"/>
        <v>0</v>
      </c>
      <c r="BI157" s="109">
        <f t="shared" si="151"/>
        <v>0</v>
      </c>
      <c r="BJ157" s="109">
        <f t="shared" si="151"/>
        <v>0</v>
      </c>
      <c r="BK157" s="109">
        <f t="shared" si="151"/>
        <v>0</v>
      </c>
      <c r="BL157" s="109">
        <f t="shared" si="151"/>
        <v>0</v>
      </c>
      <c r="BM157" s="109">
        <f t="shared" si="151"/>
        <v>0</v>
      </c>
      <c r="BN157" s="109">
        <f t="shared" si="151"/>
        <v>0</v>
      </c>
      <c r="BO157" s="109">
        <f t="shared" si="151"/>
        <v>0</v>
      </c>
      <c r="BP157" s="109">
        <f t="shared" si="151"/>
        <v>0</v>
      </c>
      <c r="BQ157" s="109">
        <f t="shared" ref="BQ157:CX157" si="152">BQ155-BQ156</f>
        <v>0</v>
      </c>
      <c r="BR157" s="109">
        <f t="shared" si="152"/>
        <v>0</v>
      </c>
      <c r="BS157" s="109">
        <f t="shared" si="152"/>
        <v>0</v>
      </c>
      <c r="BT157" s="109">
        <f t="shared" si="152"/>
        <v>0</v>
      </c>
      <c r="BU157" s="109">
        <f t="shared" si="152"/>
        <v>0</v>
      </c>
      <c r="BV157" s="109">
        <f t="shared" si="152"/>
        <v>0</v>
      </c>
      <c r="BW157" s="109">
        <f t="shared" si="152"/>
        <v>0</v>
      </c>
      <c r="BX157" s="109">
        <f t="shared" si="152"/>
        <v>0</v>
      </c>
      <c r="BY157" s="109">
        <f t="shared" si="152"/>
        <v>0</v>
      </c>
      <c r="BZ157" s="109">
        <f t="shared" si="152"/>
        <v>0</v>
      </c>
      <c r="CA157" s="109">
        <f t="shared" si="152"/>
        <v>0</v>
      </c>
      <c r="CB157" s="109">
        <f t="shared" si="152"/>
        <v>0</v>
      </c>
      <c r="CC157" s="109">
        <f t="shared" si="152"/>
        <v>0</v>
      </c>
      <c r="CD157" s="109">
        <f t="shared" si="152"/>
        <v>0</v>
      </c>
      <c r="CE157" s="109">
        <f t="shared" si="152"/>
        <v>0</v>
      </c>
      <c r="CF157" s="109">
        <f t="shared" si="152"/>
        <v>0</v>
      </c>
      <c r="CG157" s="109">
        <f t="shared" si="152"/>
        <v>0</v>
      </c>
      <c r="CH157" s="109">
        <f t="shared" si="152"/>
        <v>0</v>
      </c>
      <c r="CI157" s="109">
        <f t="shared" si="152"/>
        <v>0</v>
      </c>
      <c r="CJ157" s="109">
        <f t="shared" si="152"/>
        <v>0</v>
      </c>
      <c r="CK157" s="109">
        <f t="shared" si="152"/>
        <v>0</v>
      </c>
      <c r="CL157" s="109">
        <f t="shared" si="152"/>
        <v>0</v>
      </c>
      <c r="CM157" s="109">
        <f t="shared" si="152"/>
        <v>0</v>
      </c>
      <c r="CN157" s="109">
        <f t="shared" si="152"/>
        <v>0</v>
      </c>
      <c r="CO157" s="109">
        <f t="shared" si="152"/>
        <v>0</v>
      </c>
      <c r="CP157" s="109">
        <f t="shared" si="152"/>
        <v>0</v>
      </c>
      <c r="CQ157" s="109">
        <f t="shared" si="152"/>
        <v>0</v>
      </c>
      <c r="CR157" s="109">
        <f t="shared" si="152"/>
        <v>0</v>
      </c>
      <c r="CS157" s="109">
        <f t="shared" si="152"/>
        <v>0</v>
      </c>
      <c r="CT157" s="109">
        <f t="shared" si="152"/>
        <v>0</v>
      </c>
      <c r="CU157" s="109">
        <f t="shared" si="152"/>
        <v>0</v>
      </c>
      <c r="CV157" s="109">
        <f t="shared" si="152"/>
        <v>0</v>
      </c>
      <c r="CW157" s="109">
        <f t="shared" si="152"/>
        <v>0</v>
      </c>
      <c r="CX157" s="109">
        <f t="shared" si="152"/>
        <v>0</v>
      </c>
    </row>
    <row r="158" spans="1:102" s="88" customFormat="1" ht="20" customHeight="1">
      <c r="B158" s="88" t="s">
        <v>169</v>
      </c>
      <c r="C158" s="194">
        <f>C157/C$80</f>
        <v>-16985080.777353227</v>
      </c>
      <c r="D158" s="194">
        <f>D157/D$80</f>
        <v>-35989900.583315089</v>
      </c>
      <c r="E158" s="194">
        <f t="shared" ref="E158:BO158" si="153">E157/E$80</f>
        <v>4716634.9047714984</v>
      </c>
      <c r="F158" s="194">
        <f t="shared" si="153"/>
        <v>5120523.2882924015</v>
      </c>
      <c r="G158" s="194">
        <f t="shared" si="153"/>
        <v>4895693.4557329612</v>
      </c>
      <c r="H158" s="194">
        <f t="shared" si="153"/>
        <v>4681164.8496198384</v>
      </c>
      <c r="I158" s="194">
        <f t="shared" si="153"/>
        <v>4476442.5274774274</v>
      </c>
      <c r="J158" s="194">
        <f t="shared" si="153"/>
        <v>4281056.5037578652</v>
      </c>
      <c r="K158" s="194">
        <f t="shared" si="153"/>
        <v>4094560.433936853</v>
      </c>
      <c r="L158" s="194">
        <f t="shared" si="153"/>
        <v>3916530.3706690646</v>
      </c>
      <c r="M158" s="194">
        <f t="shared" si="153"/>
        <v>3746563.5879379613</v>
      </c>
      <c r="N158" s="194">
        <f t="shared" si="153"/>
        <v>3584277.4693693575</v>
      </c>
      <c r="O158" s="194">
        <f t="shared" si="153"/>
        <v>3086471.6505334121</v>
      </c>
      <c r="P158" s="194">
        <f t="shared" si="153"/>
        <v>2637083.4090740359</v>
      </c>
      <c r="Q158" s="194">
        <f t="shared" si="153"/>
        <v>2534669.9914174858</v>
      </c>
      <c r="R158" s="194">
        <f t="shared" si="153"/>
        <v>2436233.8875159747</v>
      </c>
      <c r="S158" s="194">
        <f t="shared" si="153"/>
        <v>2341620.6349458466</v>
      </c>
      <c r="T158" s="194">
        <f t="shared" si="153"/>
        <v>2250681.76996542</v>
      </c>
      <c r="U158" s="194">
        <f t="shared" si="153"/>
        <v>2163274.594550977</v>
      </c>
      <c r="V158" s="194">
        <f t="shared" si="153"/>
        <v>2079261.9524801117</v>
      </c>
      <c r="W158" s="194">
        <f t="shared" si="153"/>
        <v>1998512.014111083</v>
      </c>
      <c r="X158" s="194">
        <f t="shared" si="153"/>
        <v>1920898.0695204332</v>
      </c>
      <c r="Y158" s="194">
        <f t="shared" si="153"/>
        <v>1846298.329674308</v>
      </c>
      <c r="Z158" s="194">
        <f t="shared" si="153"/>
        <v>1774595.7353214347</v>
      </c>
      <c r="AA158" s="194">
        <f t="shared" si="153"/>
        <v>1705677.7733079307</v>
      </c>
      <c r="AB158" s="194">
        <f t="shared" si="153"/>
        <v>1639436.3000256671</v>
      </c>
      <c r="AC158" s="194">
        <f t="shared" si="153"/>
        <v>1575767.3717171787</v>
      </c>
      <c r="AD158" s="194">
        <f t="shared" si="153"/>
        <v>1514571.0813708291</v>
      </c>
      <c r="AE158" s="194">
        <f t="shared" si="153"/>
        <v>1455751.4019502874</v>
      </c>
      <c r="AF158" s="194">
        <f t="shared" si="153"/>
        <v>1399216.0357123292</v>
      </c>
      <c r="AG158" s="194">
        <f t="shared" si="153"/>
        <v>1344876.2693765103</v>
      </c>
      <c r="AH158" s="194">
        <f t="shared" si="153"/>
        <v>2026535.5363709098</v>
      </c>
      <c r="AI158" s="194">
        <f t="shared" si="153"/>
        <v>0</v>
      </c>
      <c r="AJ158" s="194">
        <f t="shared" si="153"/>
        <v>0</v>
      </c>
      <c r="AK158" s="194">
        <f t="shared" si="153"/>
        <v>0</v>
      </c>
      <c r="AL158" s="194">
        <f t="shared" si="153"/>
        <v>0</v>
      </c>
      <c r="AM158" s="194">
        <f t="shared" si="153"/>
        <v>0</v>
      </c>
      <c r="AN158" s="194">
        <f t="shared" si="153"/>
        <v>0</v>
      </c>
      <c r="AO158" s="194">
        <f t="shared" si="153"/>
        <v>0</v>
      </c>
      <c r="AP158" s="194">
        <f t="shared" si="153"/>
        <v>0</v>
      </c>
      <c r="AQ158" s="194">
        <f t="shared" si="153"/>
        <v>0</v>
      </c>
      <c r="AR158" s="194">
        <f t="shared" si="153"/>
        <v>0</v>
      </c>
      <c r="AS158" s="194">
        <f t="shared" si="153"/>
        <v>0</v>
      </c>
      <c r="AT158" s="194">
        <f t="shared" si="153"/>
        <v>0</v>
      </c>
      <c r="AU158" s="194">
        <f t="shared" si="153"/>
        <v>0</v>
      </c>
      <c r="AV158" s="194">
        <f t="shared" si="153"/>
        <v>0</v>
      </c>
      <c r="AW158" s="194">
        <f t="shared" si="153"/>
        <v>0</v>
      </c>
      <c r="AX158" s="194">
        <f t="shared" si="153"/>
        <v>0</v>
      </c>
      <c r="AY158" s="194">
        <f t="shared" si="153"/>
        <v>0</v>
      </c>
      <c r="AZ158" s="194">
        <f t="shared" si="153"/>
        <v>0</v>
      </c>
      <c r="BA158" s="194">
        <f t="shared" si="153"/>
        <v>0</v>
      </c>
      <c r="BB158" s="194">
        <f t="shared" si="153"/>
        <v>0</v>
      </c>
      <c r="BC158" s="194">
        <f t="shared" si="153"/>
        <v>0</v>
      </c>
      <c r="BD158" s="194">
        <f t="shared" si="153"/>
        <v>0</v>
      </c>
      <c r="BE158" s="194">
        <f t="shared" si="153"/>
        <v>0</v>
      </c>
      <c r="BF158" s="194">
        <f t="shared" si="153"/>
        <v>0</v>
      </c>
      <c r="BG158" s="194">
        <f t="shared" si="153"/>
        <v>0</v>
      </c>
      <c r="BH158" s="194">
        <f t="shared" si="153"/>
        <v>0</v>
      </c>
      <c r="BI158" s="194">
        <f t="shared" si="153"/>
        <v>0</v>
      </c>
      <c r="BJ158" s="194">
        <f t="shared" si="153"/>
        <v>0</v>
      </c>
      <c r="BK158" s="194">
        <f t="shared" si="153"/>
        <v>0</v>
      </c>
      <c r="BL158" s="194">
        <f t="shared" si="153"/>
        <v>0</v>
      </c>
      <c r="BM158" s="194">
        <f t="shared" si="153"/>
        <v>0</v>
      </c>
      <c r="BN158" s="194">
        <f t="shared" si="153"/>
        <v>0</v>
      </c>
      <c r="BO158" s="194">
        <f t="shared" si="153"/>
        <v>0</v>
      </c>
      <c r="BP158" s="194">
        <f t="shared" ref="BP158:CX158" si="154">BP157/BP$80</f>
        <v>0</v>
      </c>
      <c r="BQ158" s="194">
        <f t="shared" si="154"/>
        <v>0</v>
      </c>
      <c r="BR158" s="194">
        <f t="shared" si="154"/>
        <v>0</v>
      </c>
      <c r="BS158" s="194">
        <f t="shared" si="154"/>
        <v>0</v>
      </c>
      <c r="BT158" s="194">
        <f t="shared" si="154"/>
        <v>0</v>
      </c>
      <c r="BU158" s="194">
        <f t="shared" si="154"/>
        <v>0</v>
      </c>
      <c r="BV158" s="194">
        <f t="shared" si="154"/>
        <v>0</v>
      </c>
      <c r="BW158" s="194">
        <f t="shared" si="154"/>
        <v>0</v>
      </c>
      <c r="BX158" s="194">
        <f t="shared" si="154"/>
        <v>0</v>
      </c>
      <c r="BY158" s="194">
        <f t="shared" si="154"/>
        <v>0</v>
      </c>
      <c r="BZ158" s="194">
        <f t="shared" si="154"/>
        <v>0</v>
      </c>
      <c r="CA158" s="194">
        <f t="shared" si="154"/>
        <v>0</v>
      </c>
      <c r="CB158" s="194">
        <f t="shared" si="154"/>
        <v>0</v>
      </c>
      <c r="CC158" s="194">
        <f t="shared" si="154"/>
        <v>0</v>
      </c>
      <c r="CD158" s="194">
        <f t="shared" si="154"/>
        <v>0</v>
      </c>
      <c r="CE158" s="194">
        <f t="shared" si="154"/>
        <v>0</v>
      </c>
      <c r="CF158" s="194">
        <f t="shared" si="154"/>
        <v>0</v>
      </c>
      <c r="CG158" s="194">
        <f t="shared" si="154"/>
        <v>0</v>
      </c>
      <c r="CH158" s="194">
        <f t="shared" si="154"/>
        <v>0</v>
      </c>
      <c r="CI158" s="194">
        <f t="shared" si="154"/>
        <v>0</v>
      </c>
      <c r="CJ158" s="194">
        <f t="shared" si="154"/>
        <v>0</v>
      </c>
      <c r="CK158" s="194">
        <f t="shared" si="154"/>
        <v>0</v>
      </c>
      <c r="CL158" s="194">
        <f t="shared" si="154"/>
        <v>0</v>
      </c>
      <c r="CM158" s="194">
        <f t="shared" si="154"/>
        <v>0</v>
      </c>
      <c r="CN158" s="194">
        <f t="shared" si="154"/>
        <v>0</v>
      </c>
      <c r="CO158" s="194">
        <f t="shared" si="154"/>
        <v>0</v>
      </c>
      <c r="CP158" s="194">
        <f t="shared" si="154"/>
        <v>0</v>
      </c>
      <c r="CQ158" s="194">
        <f t="shared" si="154"/>
        <v>0</v>
      </c>
      <c r="CR158" s="194">
        <f t="shared" si="154"/>
        <v>0</v>
      </c>
      <c r="CS158" s="194">
        <f t="shared" si="154"/>
        <v>0</v>
      </c>
      <c r="CT158" s="194">
        <f t="shared" si="154"/>
        <v>0</v>
      </c>
      <c r="CU158" s="194">
        <f t="shared" si="154"/>
        <v>0</v>
      </c>
      <c r="CV158" s="194">
        <f t="shared" si="154"/>
        <v>0</v>
      </c>
      <c r="CW158" s="194">
        <f t="shared" si="154"/>
        <v>0</v>
      </c>
      <c r="CX158" s="194">
        <f t="shared" si="154"/>
        <v>0</v>
      </c>
    </row>
    <row r="159" spans="1:102" ht="20" customHeight="1">
      <c r="A159" s="195">
        <f>SUM(C158:Y158)</f>
        <v>15833472.334685996</v>
      </c>
      <c r="B159" s="95" t="s">
        <v>176</v>
      </c>
      <c r="C159" s="186"/>
      <c r="D159" s="186"/>
      <c r="E159" s="186"/>
      <c r="F159" s="192"/>
      <c r="G159" s="192"/>
      <c r="H159" s="192"/>
      <c r="I159" s="192"/>
      <c r="J159" s="192"/>
      <c r="K159" s="192"/>
      <c r="L159" s="192"/>
      <c r="M159" s="192"/>
      <c r="N159" s="192"/>
      <c r="O159" s="192"/>
      <c r="P159" s="192"/>
      <c r="Q159" s="192"/>
      <c r="R159" s="192"/>
      <c r="S159" s="192"/>
      <c r="T159" s="192"/>
      <c r="U159" s="192"/>
      <c r="V159" s="192"/>
      <c r="W159" s="192"/>
      <c r="X159" s="186"/>
      <c r="Y159" s="186"/>
      <c r="Z159" s="186"/>
      <c r="AA159" s="186"/>
      <c r="AB159" s="186"/>
      <c r="AC159" s="186"/>
      <c r="AD159" s="186"/>
      <c r="AE159" s="186"/>
      <c r="AF159" s="186"/>
      <c r="AG159" s="186"/>
      <c r="AH159" s="186"/>
      <c r="AI159" s="186"/>
      <c r="AJ159" s="186"/>
      <c r="AK159" s="186"/>
      <c r="AL159" s="186"/>
      <c r="AM159" s="186"/>
      <c r="AN159" s="186"/>
      <c r="AO159" s="186"/>
      <c r="AP159" s="186"/>
      <c r="AQ159" s="186"/>
      <c r="AR159" s="186"/>
      <c r="AS159" s="186"/>
      <c r="AT159" s="186"/>
      <c r="AU159" s="186"/>
      <c r="AV159" s="186"/>
      <c r="AW159" s="186"/>
      <c r="AX159" s="186"/>
      <c r="AY159" s="186"/>
      <c r="AZ159" s="186"/>
      <c r="BA159" s="186"/>
      <c r="BB159" s="186"/>
      <c r="BC159" s="186"/>
      <c r="BD159" s="186"/>
      <c r="BE159" s="186"/>
      <c r="BF159" s="186"/>
      <c r="BG159" s="186"/>
      <c r="BH159" s="186"/>
      <c r="BI159" s="186"/>
      <c r="BJ159" s="186"/>
      <c r="BK159" s="186"/>
      <c r="BL159" s="186"/>
      <c r="BM159" s="186"/>
      <c r="BN159" s="186"/>
      <c r="BO159" s="186"/>
      <c r="BP159" s="186"/>
      <c r="BQ159" s="186"/>
      <c r="BR159" s="186"/>
      <c r="BS159" s="186"/>
      <c r="BT159" s="186"/>
      <c r="BU159" s="186"/>
      <c r="BV159" s="186"/>
      <c r="BW159" s="186"/>
      <c r="BX159" s="186"/>
      <c r="BY159" s="186"/>
      <c r="BZ159" s="186"/>
      <c r="CA159" s="186"/>
      <c r="CB159" s="186"/>
      <c r="CC159" s="186"/>
      <c r="CD159" s="186"/>
      <c r="CE159" s="186"/>
      <c r="CF159" s="186"/>
      <c r="CG159" s="186"/>
      <c r="CH159" s="186"/>
      <c r="CI159" s="186"/>
      <c r="CJ159" s="186"/>
      <c r="CK159" s="186"/>
      <c r="CL159" s="186"/>
      <c r="CM159" s="186"/>
      <c r="CN159" s="186"/>
      <c r="CO159" s="186"/>
      <c r="CP159" s="186"/>
      <c r="CQ159" s="186"/>
      <c r="CR159" s="186"/>
      <c r="CS159" s="186"/>
      <c r="CT159" s="186"/>
      <c r="CU159" s="186"/>
      <c r="CV159" s="186"/>
      <c r="CW159" s="186"/>
      <c r="CX159" s="186"/>
    </row>
    <row r="160" spans="1:102" ht="20" customHeight="1">
      <c r="A160" s="91" t="s">
        <v>170</v>
      </c>
    </row>
  </sheetData>
  <phoneticPr fontId="12" type="noConversion"/>
  <dataValidations count="1">
    <dataValidation type="whole" allowBlank="1" showInputMessage="1" showErrorMessage="1" sqref="C39" xr:uid="{C78BE643-943F-42BC-A26A-2990591D0C0D}">
      <formula1>1</formula1>
      <formula2>5</formula2>
    </dataValidation>
  </dataValidations>
  <pageMargins left="0.7" right="0.7" top="0.75" bottom="0.75" header="0.3" footer="0.3"/>
  <pageSetup scale="65" pageOrder="overThenDown" orientation="landscape" r:id="rId1"/>
  <headerFooter>
    <oddFooter>&amp;L&amp;8&amp;D&amp;  at &amp;T&amp;C
&amp;8Page &amp;P &amp; of &amp;N&amp;R&amp;8&amp;Z
&amp;F</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A6EE4-8BC6-4DD6-B3EE-7D56608FA25F}">
  <sheetPr codeName="Sheet20"/>
  <dimension ref="A1:AF994"/>
  <sheetViews>
    <sheetView zoomScale="50" zoomScaleNormal="50" workbookViewId="0">
      <selection activeCell="A2" sqref="A2"/>
    </sheetView>
  </sheetViews>
  <sheetFormatPr defaultRowHeight="18.5"/>
  <cols>
    <col min="1" max="1" width="21.42578125" bestFit="1" customWidth="1"/>
    <col min="2" max="2" width="11.5703125" bestFit="1" customWidth="1"/>
    <col min="3" max="3" width="12.78515625" bestFit="1" customWidth="1"/>
    <col min="4" max="4" width="16.5" bestFit="1" customWidth="1"/>
    <col min="5" max="5" width="14.28515625" bestFit="1" customWidth="1"/>
    <col min="6" max="6" width="13.2109375" bestFit="1" customWidth="1"/>
    <col min="7" max="7" width="18.2109375" bestFit="1" customWidth="1"/>
    <col min="8" max="8" width="19.78515625" bestFit="1" customWidth="1"/>
    <col min="9" max="9" width="17.5703125" bestFit="1" customWidth="1"/>
    <col min="10" max="10" width="20" bestFit="1" customWidth="1"/>
    <col min="11" max="11" width="8.7109375" bestFit="1" customWidth="1"/>
    <col min="12" max="12" width="11.92578125" customWidth="1"/>
    <col min="13" max="13" width="6.92578125" bestFit="1" customWidth="1"/>
    <col min="14" max="14" width="20" bestFit="1" customWidth="1"/>
    <col min="15" max="18" width="20" customWidth="1"/>
    <col min="19" max="19" width="8" bestFit="1" customWidth="1"/>
    <col min="20" max="20" width="8" customWidth="1"/>
    <col min="21" max="21" width="12.0703125" bestFit="1" customWidth="1"/>
    <col min="22" max="22" width="14" bestFit="1" customWidth="1"/>
    <col min="23" max="23" width="14" customWidth="1"/>
    <col min="24" max="24" width="15" bestFit="1" customWidth="1"/>
    <col min="25" max="25" width="18.5703125" bestFit="1" customWidth="1"/>
    <col min="26" max="26" width="12" bestFit="1" customWidth="1"/>
    <col min="27" max="27" width="12" customWidth="1"/>
    <col min="28" max="28" width="13.92578125" bestFit="1" customWidth="1"/>
    <col min="29" max="29" width="14.0703125" bestFit="1" customWidth="1"/>
    <col min="30" max="30" width="27.78515625" bestFit="1" customWidth="1"/>
    <col min="31" max="31" width="19.92578125" bestFit="1" customWidth="1"/>
  </cols>
  <sheetData>
    <row r="1" spans="1:32" ht="21">
      <c r="A1" s="216" t="s">
        <v>1144</v>
      </c>
    </row>
    <row r="3" spans="1:32">
      <c r="A3" t="s">
        <v>362</v>
      </c>
      <c r="B3" t="s">
        <v>48</v>
      </c>
      <c r="C3" t="s">
        <v>1044</v>
      </c>
      <c r="D3" t="s">
        <v>540</v>
      </c>
      <c r="E3" t="s">
        <v>364</v>
      </c>
      <c r="F3" t="s">
        <v>363</v>
      </c>
      <c r="G3" t="s">
        <v>443</v>
      </c>
      <c r="H3" t="s">
        <v>881</v>
      </c>
      <c r="I3" t="s">
        <v>369</v>
      </c>
      <c r="J3" t="s">
        <v>366</v>
      </c>
      <c r="K3" t="s">
        <v>95</v>
      </c>
      <c r="L3" t="s">
        <v>1070</v>
      </c>
      <c r="M3" t="s">
        <v>372</v>
      </c>
      <c r="N3" t="s">
        <v>373</v>
      </c>
      <c r="O3" t="s">
        <v>1071</v>
      </c>
      <c r="P3" t="s">
        <v>1072</v>
      </c>
      <c r="Q3" t="s">
        <v>1073</v>
      </c>
      <c r="R3" t="s">
        <v>1074</v>
      </c>
      <c r="S3" t="s">
        <v>75</v>
      </c>
      <c r="T3" t="s">
        <v>299</v>
      </c>
      <c r="U3" t="s">
        <v>360</v>
      </c>
      <c r="V3" t="s">
        <v>359</v>
      </c>
      <c r="W3" t="s">
        <v>1036</v>
      </c>
      <c r="X3" t="s">
        <v>379</v>
      </c>
      <c r="Y3" t="s">
        <v>386</v>
      </c>
      <c r="Z3" t="s">
        <v>384</v>
      </c>
      <c r="AA3" t="s">
        <v>1093</v>
      </c>
      <c r="AB3" t="s">
        <v>1203</v>
      </c>
      <c r="AC3" t="s">
        <v>1041</v>
      </c>
      <c r="AD3" t="s">
        <v>1038</v>
      </c>
      <c r="AE3" t="s">
        <v>1199</v>
      </c>
      <c r="AF3" t="s">
        <v>371</v>
      </c>
    </row>
    <row r="4" spans="1:32">
      <c r="A4">
        <v>10</v>
      </c>
      <c r="B4">
        <v>5</v>
      </c>
      <c r="C4" s="3">
        <v>0</v>
      </c>
      <c r="D4" s="3">
        <v>15</v>
      </c>
      <c r="E4" s="15" t="s">
        <v>365</v>
      </c>
      <c r="F4" t="s">
        <v>49</v>
      </c>
      <c r="G4" t="s">
        <v>442</v>
      </c>
      <c r="H4" t="s">
        <v>882</v>
      </c>
      <c r="I4">
        <v>1</v>
      </c>
      <c r="J4">
        <v>1</v>
      </c>
      <c r="K4">
        <v>2024</v>
      </c>
      <c r="L4" t="s">
        <v>192</v>
      </c>
      <c r="M4" s="12">
        <v>0.01</v>
      </c>
      <c r="N4">
        <v>3</v>
      </c>
      <c r="O4" s="15">
        <v>0</v>
      </c>
      <c r="P4" s="12">
        <v>0</v>
      </c>
      <c r="Q4" s="12">
        <v>0</v>
      </c>
      <c r="R4" s="15">
        <v>0</v>
      </c>
      <c r="S4" t="s">
        <v>370</v>
      </c>
      <c r="T4" t="s">
        <v>202</v>
      </c>
      <c r="U4" t="s">
        <v>312</v>
      </c>
      <c r="V4" t="s">
        <v>316</v>
      </c>
      <c r="W4" t="s">
        <v>316</v>
      </c>
      <c r="X4" t="s">
        <v>381</v>
      </c>
      <c r="Y4" t="s">
        <v>385</v>
      </c>
      <c r="Z4">
        <v>2030</v>
      </c>
      <c r="AA4" t="s">
        <v>1094</v>
      </c>
      <c r="AB4" s="3" t="s">
        <v>192</v>
      </c>
      <c r="AC4" s="3">
        <v>4</v>
      </c>
      <c r="AD4" s="15">
        <v>0</v>
      </c>
      <c r="AE4" s="3">
        <v>0</v>
      </c>
      <c r="AF4" t="s">
        <v>37</v>
      </c>
    </row>
    <row r="5" spans="1:32">
      <c r="A5">
        <v>11</v>
      </c>
      <c r="B5">
        <v>10</v>
      </c>
      <c r="C5" s="3">
        <v>10</v>
      </c>
      <c r="D5" s="3"/>
      <c r="E5" s="15" t="s">
        <v>47</v>
      </c>
      <c r="F5" t="s">
        <v>239</v>
      </c>
      <c r="G5" t="s">
        <v>444</v>
      </c>
      <c r="H5" t="s">
        <v>883</v>
      </c>
      <c r="I5">
        <v>2</v>
      </c>
      <c r="J5">
        <v>2</v>
      </c>
      <c r="K5">
        <v>2025</v>
      </c>
      <c r="L5" s="3" t="s">
        <v>382</v>
      </c>
      <c r="M5" s="12">
        <v>1.2500000000000001E-2</v>
      </c>
      <c r="N5">
        <v>4</v>
      </c>
      <c r="O5" s="15">
        <v>0.01</v>
      </c>
      <c r="P5" s="12">
        <v>2.5000000000000001E-3</v>
      </c>
      <c r="Q5" s="12">
        <v>2.5000000000000001E-3</v>
      </c>
      <c r="R5" s="15">
        <v>0.01</v>
      </c>
      <c r="S5" t="s">
        <v>361</v>
      </c>
      <c r="U5" t="s">
        <v>201</v>
      </c>
      <c r="V5" t="s">
        <v>317</v>
      </c>
      <c r="W5" t="s">
        <v>318</v>
      </c>
      <c r="Y5" t="s">
        <v>383</v>
      </c>
      <c r="Z5">
        <v>2031</v>
      </c>
      <c r="AA5" t="s">
        <v>1095</v>
      </c>
      <c r="AB5" s="3" t="s">
        <v>382</v>
      </c>
      <c r="AC5" s="3">
        <v>8</v>
      </c>
      <c r="AD5" s="15">
        <v>0.01</v>
      </c>
      <c r="AE5" s="3">
        <v>4</v>
      </c>
    </row>
    <row r="6" spans="1:32">
      <c r="A6">
        <v>12</v>
      </c>
      <c r="B6">
        <v>15</v>
      </c>
      <c r="C6" s="3">
        <v>20</v>
      </c>
      <c r="H6" t="s">
        <v>884</v>
      </c>
      <c r="I6">
        <v>3</v>
      </c>
      <c r="J6">
        <v>3</v>
      </c>
      <c r="K6">
        <v>2026</v>
      </c>
      <c r="M6" s="12">
        <v>1.4999999999999999E-2</v>
      </c>
      <c r="N6">
        <v>5</v>
      </c>
      <c r="O6" s="15">
        <v>0.02</v>
      </c>
      <c r="P6" s="12">
        <v>5.0000000000000001E-3</v>
      </c>
      <c r="Q6" s="12">
        <v>5.0000000000000001E-3</v>
      </c>
      <c r="R6" s="15">
        <v>0.02</v>
      </c>
      <c r="S6" t="s">
        <v>359</v>
      </c>
      <c r="U6" t="s">
        <v>314</v>
      </c>
      <c r="V6" t="s">
        <v>318</v>
      </c>
      <c r="W6" t="s">
        <v>319</v>
      </c>
      <c r="Z6">
        <v>2032</v>
      </c>
      <c r="AB6" s="3"/>
      <c r="AC6" s="3">
        <v>12</v>
      </c>
      <c r="AD6" s="15">
        <v>0.02</v>
      </c>
      <c r="AE6" s="3">
        <v>8</v>
      </c>
    </row>
    <row r="7" spans="1:32">
      <c r="A7">
        <v>13</v>
      </c>
      <c r="B7">
        <v>20</v>
      </c>
      <c r="C7" s="3">
        <v>30</v>
      </c>
      <c r="D7" s="3"/>
      <c r="I7">
        <v>4</v>
      </c>
      <c r="J7">
        <v>4</v>
      </c>
      <c r="K7">
        <v>2027</v>
      </c>
      <c r="M7" s="12">
        <v>1.7500000000000002E-2</v>
      </c>
      <c r="N7">
        <v>6</v>
      </c>
      <c r="O7" s="15">
        <v>0.03</v>
      </c>
      <c r="P7" s="12">
        <v>7.4999999999999997E-3</v>
      </c>
      <c r="Q7" s="12">
        <v>7.4999999999999997E-3</v>
      </c>
      <c r="R7" s="15">
        <v>0.03</v>
      </c>
      <c r="U7" t="s">
        <v>315</v>
      </c>
      <c r="V7" t="s">
        <v>319</v>
      </c>
      <c r="W7" t="s">
        <v>247</v>
      </c>
      <c r="Z7">
        <v>2033</v>
      </c>
      <c r="AB7" s="3"/>
      <c r="AC7" s="3">
        <v>16</v>
      </c>
      <c r="AD7" s="15">
        <v>0.03</v>
      </c>
      <c r="AE7" s="3">
        <v>12</v>
      </c>
    </row>
    <row r="8" spans="1:32">
      <c r="A8">
        <v>14</v>
      </c>
      <c r="B8">
        <v>25</v>
      </c>
      <c r="C8" s="3">
        <v>40</v>
      </c>
      <c r="D8" s="3"/>
      <c r="I8">
        <v>5</v>
      </c>
      <c r="J8">
        <v>5</v>
      </c>
      <c r="K8">
        <v>2028</v>
      </c>
      <c r="M8" s="12">
        <v>0.02</v>
      </c>
      <c r="N8">
        <v>7</v>
      </c>
      <c r="O8" s="15">
        <v>0.04</v>
      </c>
      <c r="P8" s="12">
        <v>0.01</v>
      </c>
      <c r="Q8" s="12">
        <v>0.01</v>
      </c>
      <c r="R8" s="15">
        <v>0.04</v>
      </c>
      <c r="U8" t="s">
        <v>313</v>
      </c>
      <c r="V8" t="s">
        <v>247</v>
      </c>
      <c r="W8" t="s">
        <v>320</v>
      </c>
      <c r="Z8">
        <v>2034</v>
      </c>
      <c r="AB8" s="3"/>
      <c r="AC8" s="3">
        <v>20</v>
      </c>
      <c r="AD8" s="15">
        <v>0.04</v>
      </c>
      <c r="AE8" s="3">
        <v>16</v>
      </c>
    </row>
    <row r="9" spans="1:32">
      <c r="A9">
        <v>15</v>
      </c>
      <c r="B9">
        <v>30</v>
      </c>
      <c r="C9" s="3">
        <v>50</v>
      </c>
      <c r="D9" s="12"/>
      <c r="I9">
        <v>6</v>
      </c>
      <c r="J9">
        <v>6</v>
      </c>
      <c r="K9">
        <v>2029</v>
      </c>
      <c r="M9" s="12">
        <v>2.2499999999999999E-2</v>
      </c>
      <c r="N9">
        <v>8</v>
      </c>
      <c r="O9" s="15">
        <v>0.05</v>
      </c>
      <c r="P9" s="12">
        <v>1.2500000000000001E-2</v>
      </c>
      <c r="Q9" s="12">
        <v>1.2500000000000001E-2</v>
      </c>
      <c r="R9" s="15">
        <v>0.05</v>
      </c>
      <c r="V9" t="s">
        <v>320</v>
      </c>
      <c r="W9" t="s">
        <v>322</v>
      </c>
      <c r="Z9">
        <v>2035</v>
      </c>
      <c r="AB9" s="3"/>
      <c r="AC9" s="3">
        <v>24</v>
      </c>
      <c r="AD9" s="15">
        <v>0.05</v>
      </c>
      <c r="AE9" s="3">
        <v>20</v>
      </c>
    </row>
    <row r="10" spans="1:32">
      <c r="A10">
        <v>16</v>
      </c>
      <c r="B10">
        <v>35</v>
      </c>
      <c r="C10" s="3">
        <v>60</v>
      </c>
      <c r="D10" s="3"/>
      <c r="I10">
        <v>7</v>
      </c>
      <c r="J10">
        <v>7</v>
      </c>
      <c r="K10">
        <v>2030</v>
      </c>
      <c r="M10" s="12">
        <v>2.5000000000000001E-2</v>
      </c>
      <c r="N10">
        <v>9</v>
      </c>
      <c r="O10" s="15">
        <v>0.06</v>
      </c>
      <c r="P10" s="12">
        <v>1.4999999999999999E-2</v>
      </c>
      <c r="Q10" s="12">
        <v>1.4999999999999999E-2</v>
      </c>
      <c r="R10" s="15">
        <v>0.06</v>
      </c>
      <c r="V10" t="s">
        <v>321</v>
      </c>
      <c r="W10" t="s">
        <v>323</v>
      </c>
      <c r="Z10">
        <v>2036</v>
      </c>
      <c r="AB10" s="3"/>
      <c r="AC10" s="3">
        <v>28</v>
      </c>
      <c r="AD10" s="15">
        <v>0.06</v>
      </c>
      <c r="AE10" s="3">
        <v>24</v>
      </c>
    </row>
    <row r="11" spans="1:32">
      <c r="A11">
        <v>17</v>
      </c>
      <c r="B11">
        <v>40</v>
      </c>
      <c r="C11" s="3">
        <v>70</v>
      </c>
      <c r="D11" s="3"/>
      <c r="I11">
        <v>8</v>
      </c>
      <c r="J11">
        <v>8</v>
      </c>
      <c r="K11">
        <v>2031</v>
      </c>
      <c r="M11" s="12">
        <v>2.75E-2</v>
      </c>
      <c r="N11">
        <v>10</v>
      </c>
      <c r="O11" s="15">
        <v>7.0000000000000007E-2</v>
      </c>
      <c r="P11" s="12">
        <v>1.7500000000000002E-2</v>
      </c>
      <c r="Q11" s="12">
        <v>1.7500000000000002E-2</v>
      </c>
      <c r="R11" s="15">
        <v>7.0000000000000007E-2</v>
      </c>
      <c r="V11" t="s">
        <v>322</v>
      </c>
      <c r="W11" t="s">
        <v>324</v>
      </c>
      <c r="Z11">
        <v>2037</v>
      </c>
      <c r="AB11" s="3"/>
      <c r="AC11" s="3">
        <v>32</v>
      </c>
      <c r="AD11" s="15">
        <v>7.0000000000000007E-2</v>
      </c>
      <c r="AE11" s="3">
        <v>28</v>
      </c>
    </row>
    <row r="12" spans="1:32">
      <c r="A12">
        <v>18</v>
      </c>
      <c r="B12">
        <v>45</v>
      </c>
      <c r="C12" s="3">
        <v>80</v>
      </c>
      <c r="D12" s="3"/>
      <c r="I12">
        <v>9</v>
      </c>
      <c r="J12">
        <v>9</v>
      </c>
      <c r="K12">
        <v>2032</v>
      </c>
      <c r="M12" s="12">
        <v>0.03</v>
      </c>
      <c r="N12">
        <v>11</v>
      </c>
      <c r="O12" s="15">
        <v>0.08</v>
      </c>
      <c r="P12" s="12">
        <v>0.02</v>
      </c>
      <c r="Q12" s="12">
        <v>0.02</v>
      </c>
      <c r="R12" s="15">
        <v>0.08</v>
      </c>
      <c r="V12" t="s">
        <v>323</v>
      </c>
      <c r="W12" t="s">
        <v>326</v>
      </c>
      <c r="Z12">
        <v>2038</v>
      </c>
      <c r="AB12" s="3"/>
      <c r="AC12" s="3">
        <v>36</v>
      </c>
      <c r="AD12" s="15">
        <v>0.08</v>
      </c>
      <c r="AE12" s="3">
        <v>32</v>
      </c>
    </row>
    <row r="13" spans="1:32">
      <c r="A13">
        <v>19</v>
      </c>
      <c r="B13">
        <v>50</v>
      </c>
      <c r="C13" s="3">
        <v>90</v>
      </c>
      <c r="D13" s="3"/>
      <c r="I13">
        <v>10</v>
      </c>
      <c r="J13">
        <v>10</v>
      </c>
      <c r="K13">
        <v>2033</v>
      </c>
      <c r="M13" s="12">
        <v>3.2500000000000001E-2</v>
      </c>
      <c r="N13">
        <v>12</v>
      </c>
      <c r="O13" s="15">
        <v>0.09</v>
      </c>
      <c r="P13" s="12">
        <v>2.2499999999999999E-2</v>
      </c>
      <c r="Q13" s="12">
        <v>2.2499999999999999E-2</v>
      </c>
      <c r="R13" s="15">
        <v>0.09</v>
      </c>
      <c r="V13" t="s">
        <v>324</v>
      </c>
      <c r="W13" t="s">
        <v>207</v>
      </c>
      <c r="Z13">
        <v>2039</v>
      </c>
      <c r="AB13" s="3"/>
      <c r="AC13" s="3">
        <v>40</v>
      </c>
      <c r="AD13" s="15">
        <v>0.09</v>
      </c>
      <c r="AE13" s="3">
        <v>36</v>
      </c>
    </row>
    <row r="14" spans="1:32">
      <c r="A14">
        <v>20</v>
      </c>
      <c r="B14">
        <v>55</v>
      </c>
      <c r="C14">
        <f t="shared" ref="C14:C36" si="0">C5*10</f>
        <v>100</v>
      </c>
      <c r="I14">
        <v>11</v>
      </c>
      <c r="K14">
        <v>2034</v>
      </c>
      <c r="M14" s="12">
        <v>3.5000000000000003E-2</v>
      </c>
      <c r="N14">
        <v>13</v>
      </c>
      <c r="O14" s="15">
        <v>0.1</v>
      </c>
      <c r="P14" s="12">
        <v>2.5000000000000001E-2</v>
      </c>
      <c r="Q14" s="12">
        <v>2.5000000000000001E-2</v>
      </c>
      <c r="R14" s="15">
        <v>0.1</v>
      </c>
      <c r="V14" t="s">
        <v>325</v>
      </c>
      <c r="W14" t="s">
        <v>206</v>
      </c>
      <c r="Z14">
        <v>2040</v>
      </c>
      <c r="AB14" s="3"/>
      <c r="AC14" s="3">
        <v>44</v>
      </c>
      <c r="AD14" s="15">
        <v>0.1</v>
      </c>
      <c r="AE14" s="3">
        <v>40</v>
      </c>
    </row>
    <row r="15" spans="1:32">
      <c r="A15">
        <v>21</v>
      </c>
      <c r="B15">
        <v>60</v>
      </c>
      <c r="C15">
        <f t="shared" si="0"/>
        <v>200</v>
      </c>
      <c r="I15">
        <v>12</v>
      </c>
      <c r="K15">
        <v>2035</v>
      </c>
      <c r="M15" s="12">
        <v>3.7499999999999999E-2</v>
      </c>
      <c r="N15">
        <v>14</v>
      </c>
      <c r="O15" s="15">
        <v>0.11</v>
      </c>
      <c r="P15" s="12">
        <v>2.75E-2</v>
      </c>
      <c r="Q15" s="12">
        <v>2.75E-2</v>
      </c>
      <c r="R15" s="15">
        <v>0.11</v>
      </c>
      <c r="V15" t="s">
        <v>326</v>
      </c>
      <c r="W15" t="s">
        <v>208</v>
      </c>
      <c r="Z15">
        <v>2041</v>
      </c>
      <c r="AB15" s="3"/>
      <c r="AC15" s="3">
        <v>48</v>
      </c>
      <c r="AD15" s="15">
        <v>0.11</v>
      </c>
      <c r="AE15" s="3">
        <v>44</v>
      </c>
    </row>
    <row r="16" spans="1:32">
      <c r="A16">
        <v>22</v>
      </c>
      <c r="B16">
        <v>65</v>
      </c>
      <c r="C16">
        <f t="shared" si="0"/>
        <v>300</v>
      </c>
      <c r="I16">
        <v>13</v>
      </c>
      <c r="K16">
        <v>2036</v>
      </c>
      <c r="M16" s="12">
        <v>0.04</v>
      </c>
      <c r="N16">
        <v>15</v>
      </c>
      <c r="O16" s="15">
        <v>0.12</v>
      </c>
      <c r="P16" s="12">
        <v>0.03</v>
      </c>
      <c r="Q16" s="12">
        <v>0.03</v>
      </c>
      <c r="R16" s="15">
        <v>0.12</v>
      </c>
      <c r="V16" t="s">
        <v>207</v>
      </c>
      <c r="W16" t="s">
        <v>327</v>
      </c>
      <c r="Z16">
        <v>2042</v>
      </c>
      <c r="AB16" s="3"/>
      <c r="AC16" s="3">
        <v>52</v>
      </c>
      <c r="AD16" s="15">
        <v>0.12</v>
      </c>
      <c r="AE16" s="3">
        <v>48</v>
      </c>
    </row>
    <row r="17" spans="1:31">
      <c r="A17">
        <v>23</v>
      </c>
      <c r="B17">
        <v>70</v>
      </c>
      <c r="C17">
        <f t="shared" si="0"/>
        <v>400</v>
      </c>
      <c r="I17">
        <v>14</v>
      </c>
      <c r="K17">
        <v>2037</v>
      </c>
      <c r="M17" s="12">
        <v>4.2500000000000003E-2</v>
      </c>
      <c r="N17">
        <v>16</v>
      </c>
      <c r="O17" s="15">
        <v>0.13</v>
      </c>
      <c r="P17" s="12">
        <v>3.2500000000000001E-2</v>
      </c>
      <c r="Q17" s="12">
        <v>3.2500000000000001E-2</v>
      </c>
      <c r="R17" s="15">
        <v>0.13</v>
      </c>
      <c r="V17" t="s">
        <v>206</v>
      </c>
      <c r="W17" t="s">
        <v>328</v>
      </c>
      <c r="Z17">
        <v>2043</v>
      </c>
      <c r="AB17" s="3"/>
      <c r="AC17" s="3">
        <v>56</v>
      </c>
      <c r="AD17" s="15">
        <v>0.13</v>
      </c>
      <c r="AE17" s="3">
        <v>52</v>
      </c>
    </row>
    <row r="18" spans="1:31">
      <c r="A18">
        <v>24</v>
      </c>
      <c r="B18">
        <v>75</v>
      </c>
      <c r="C18">
        <f t="shared" si="0"/>
        <v>500</v>
      </c>
      <c r="I18">
        <v>15</v>
      </c>
      <c r="K18">
        <v>2038</v>
      </c>
      <c r="M18" s="12">
        <v>4.4999999999999998E-2</v>
      </c>
      <c r="N18">
        <v>17</v>
      </c>
      <c r="O18" s="15">
        <v>0.14000000000000001</v>
      </c>
      <c r="P18" s="12">
        <v>3.5000000000000003E-2</v>
      </c>
      <c r="Q18" s="12">
        <v>3.5000000000000003E-2</v>
      </c>
      <c r="R18" s="15">
        <v>0.14000000000000001</v>
      </c>
      <c r="V18" t="s">
        <v>208</v>
      </c>
      <c r="W18" t="s">
        <v>203</v>
      </c>
      <c r="Z18">
        <v>2044</v>
      </c>
      <c r="AB18" s="3"/>
      <c r="AC18" s="3">
        <v>60</v>
      </c>
      <c r="AD18" s="15">
        <v>0.14000000000000001</v>
      </c>
      <c r="AE18" s="3">
        <v>56</v>
      </c>
    </row>
    <row r="19" spans="1:31">
      <c r="A19">
        <v>25</v>
      </c>
      <c r="B19">
        <v>80</v>
      </c>
      <c r="C19">
        <f t="shared" si="0"/>
        <v>600</v>
      </c>
      <c r="I19">
        <v>16</v>
      </c>
      <c r="K19">
        <v>2039</v>
      </c>
      <c r="M19" s="12">
        <v>4.7500000000000001E-2</v>
      </c>
      <c r="N19">
        <v>18</v>
      </c>
      <c r="O19" s="15">
        <v>0.15</v>
      </c>
      <c r="P19" s="12">
        <v>3.7499999999999999E-2</v>
      </c>
      <c r="Q19" s="12">
        <v>3.7499999999999999E-2</v>
      </c>
      <c r="R19" s="15">
        <v>0.15</v>
      </c>
      <c r="V19" t="s">
        <v>327</v>
      </c>
      <c r="W19" t="s">
        <v>329</v>
      </c>
      <c r="Z19">
        <v>2045</v>
      </c>
      <c r="AB19" s="3"/>
      <c r="AC19" s="3">
        <v>64</v>
      </c>
      <c r="AD19" s="15">
        <v>0.15</v>
      </c>
      <c r="AE19" s="3">
        <v>60</v>
      </c>
    </row>
    <row r="20" spans="1:31">
      <c r="A20">
        <v>26</v>
      </c>
      <c r="B20">
        <v>85</v>
      </c>
      <c r="C20">
        <f t="shared" si="0"/>
        <v>700</v>
      </c>
      <c r="I20">
        <v>17</v>
      </c>
      <c r="K20">
        <v>2040</v>
      </c>
      <c r="M20" s="12">
        <v>0.05</v>
      </c>
      <c r="N20">
        <v>19</v>
      </c>
      <c r="O20" s="15">
        <v>0.16</v>
      </c>
      <c r="P20" s="12">
        <v>0.04</v>
      </c>
      <c r="Q20" s="12">
        <v>0.04</v>
      </c>
      <c r="R20" s="15">
        <v>0.16</v>
      </c>
      <c r="V20" t="s">
        <v>328</v>
      </c>
      <c r="W20" t="s">
        <v>330</v>
      </c>
      <c r="Z20">
        <v>2046</v>
      </c>
      <c r="AB20" s="3"/>
      <c r="AC20" s="3">
        <v>68</v>
      </c>
      <c r="AD20" s="15">
        <v>0.16</v>
      </c>
      <c r="AE20" s="3">
        <v>64</v>
      </c>
    </row>
    <row r="21" spans="1:31">
      <c r="A21">
        <v>27</v>
      </c>
      <c r="B21">
        <v>90</v>
      </c>
      <c r="C21">
        <f t="shared" si="0"/>
        <v>800</v>
      </c>
      <c r="I21">
        <v>18</v>
      </c>
      <c r="K21">
        <v>2041</v>
      </c>
      <c r="M21" s="12">
        <v>5.2499999999999998E-2</v>
      </c>
      <c r="N21">
        <v>20</v>
      </c>
      <c r="O21" s="15">
        <v>0.17</v>
      </c>
      <c r="P21" s="12">
        <v>4.2500000000000003E-2</v>
      </c>
      <c r="Q21" s="12">
        <v>4.2500000000000003E-2</v>
      </c>
      <c r="R21" s="15">
        <v>0.17</v>
      </c>
      <c r="V21" t="s">
        <v>203</v>
      </c>
      <c r="W21" t="s">
        <v>331</v>
      </c>
      <c r="Z21">
        <v>2047</v>
      </c>
      <c r="AB21" s="3"/>
      <c r="AC21" s="3">
        <v>72</v>
      </c>
      <c r="AD21" s="15">
        <v>0.17</v>
      </c>
      <c r="AE21" s="3">
        <v>68</v>
      </c>
    </row>
    <row r="22" spans="1:31">
      <c r="A22">
        <v>28</v>
      </c>
      <c r="B22">
        <v>95</v>
      </c>
      <c r="C22">
        <f t="shared" si="0"/>
        <v>900</v>
      </c>
      <c r="I22">
        <v>19</v>
      </c>
      <c r="K22">
        <v>2042</v>
      </c>
      <c r="M22" s="12">
        <v>5.5E-2</v>
      </c>
      <c r="N22">
        <v>21</v>
      </c>
      <c r="O22" s="15">
        <v>0.18</v>
      </c>
      <c r="P22" s="12">
        <v>4.4999999999999998E-2</v>
      </c>
      <c r="Q22" s="12">
        <v>4.4999999999999998E-2</v>
      </c>
      <c r="R22" s="15">
        <v>0.18</v>
      </c>
      <c r="V22" t="s">
        <v>329</v>
      </c>
      <c r="W22" t="s">
        <v>332</v>
      </c>
      <c r="Z22">
        <v>2048</v>
      </c>
      <c r="AB22" s="3"/>
      <c r="AC22" s="3">
        <v>76</v>
      </c>
      <c r="AD22" s="15">
        <v>0.18</v>
      </c>
      <c r="AE22" s="3">
        <v>72</v>
      </c>
    </row>
    <row r="23" spans="1:31">
      <c r="A23">
        <v>29</v>
      </c>
      <c r="B23">
        <v>100</v>
      </c>
      <c r="C23">
        <f t="shared" si="0"/>
        <v>1000</v>
      </c>
      <c r="D23" s="15"/>
      <c r="I23">
        <v>20</v>
      </c>
      <c r="K23">
        <v>2043</v>
      </c>
      <c r="M23" s="12">
        <v>5.7500000000000002E-2</v>
      </c>
      <c r="N23">
        <v>22</v>
      </c>
      <c r="O23" s="15">
        <v>0.19</v>
      </c>
      <c r="P23" s="12">
        <v>4.7500000000000001E-2</v>
      </c>
      <c r="Q23" s="12">
        <v>4.7500000000000001E-2</v>
      </c>
      <c r="R23" s="15">
        <v>0.19</v>
      </c>
      <c r="V23" t="s">
        <v>330</v>
      </c>
      <c r="W23" t="s">
        <v>333</v>
      </c>
      <c r="Z23">
        <v>2049</v>
      </c>
      <c r="AB23" s="3"/>
      <c r="AC23" s="3">
        <v>80</v>
      </c>
      <c r="AD23" s="15">
        <v>0.19</v>
      </c>
      <c r="AE23" s="3">
        <v>76</v>
      </c>
    </row>
    <row r="24" spans="1:31">
      <c r="A24">
        <v>30</v>
      </c>
      <c r="B24">
        <v>105</v>
      </c>
      <c r="C24">
        <f t="shared" si="0"/>
        <v>2000</v>
      </c>
      <c r="I24">
        <v>21</v>
      </c>
      <c r="K24">
        <v>2044</v>
      </c>
      <c r="M24" s="12">
        <v>0.06</v>
      </c>
      <c r="N24">
        <v>23</v>
      </c>
      <c r="O24" s="15">
        <v>0.2</v>
      </c>
      <c r="P24" s="12">
        <v>0.05</v>
      </c>
      <c r="Q24" s="12">
        <v>0.05</v>
      </c>
      <c r="R24" s="15">
        <v>0.2</v>
      </c>
      <c r="V24" t="s">
        <v>331</v>
      </c>
      <c r="W24" t="s">
        <v>204</v>
      </c>
      <c r="Z24">
        <v>2050</v>
      </c>
      <c r="AB24" s="3"/>
      <c r="AC24" s="3">
        <v>84</v>
      </c>
      <c r="AD24" s="15">
        <v>0.2</v>
      </c>
      <c r="AE24" s="3">
        <v>80</v>
      </c>
    </row>
    <row r="25" spans="1:31">
      <c r="A25">
        <v>31</v>
      </c>
      <c r="B25">
        <v>110</v>
      </c>
      <c r="C25">
        <f t="shared" si="0"/>
        <v>3000</v>
      </c>
      <c r="I25">
        <v>22</v>
      </c>
      <c r="K25">
        <v>2045</v>
      </c>
      <c r="M25" s="12">
        <v>6.25E-2</v>
      </c>
      <c r="N25">
        <v>24</v>
      </c>
      <c r="O25" s="15">
        <v>0.21</v>
      </c>
      <c r="P25" s="12">
        <v>5.2499999999999998E-2</v>
      </c>
      <c r="Q25" s="12">
        <v>5.2499999999999998E-2</v>
      </c>
      <c r="R25" s="15">
        <v>0.21</v>
      </c>
      <c r="V25" t="s">
        <v>332</v>
      </c>
      <c r="W25" t="s">
        <v>334</v>
      </c>
      <c r="Z25">
        <v>2051</v>
      </c>
      <c r="AB25" s="3"/>
      <c r="AC25" s="3">
        <v>88</v>
      </c>
      <c r="AD25" s="15">
        <v>0.21</v>
      </c>
      <c r="AE25" s="3">
        <v>84</v>
      </c>
    </row>
    <row r="26" spans="1:31">
      <c r="A26">
        <v>32</v>
      </c>
      <c r="B26">
        <v>115</v>
      </c>
      <c r="C26">
        <f t="shared" si="0"/>
        <v>4000</v>
      </c>
      <c r="I26">
        <v>23</v>
      </c>
      <c r="K26">
        <v>2046</v>
      </c>
      <c r="M26" s="12">
        <v>6.5000000000000002E-2</v>
      </c>
      <c r="N26">
        <v>25</v>
      </c>
      <c r="O26" s="15">
        <v>0.22</v>
      </c>
      <c r="P26" s="12">
        <v>5.5E-2</v>
      </c>
      <c r="Q26" s="12">
        <v>5.5E-2</v>
      </c>
      <c r="R26" s="15">
        <v>0.22</v>
      </c>
      <c r="V26" t="s">
        <v>333</v>
      </c>
      <c r="W26" t="s">
        <v>335</v>
      </c>
      <c r="Z26">
        <v>2052</v>
      </c>
      <c r="AB26" s="3"/>
      <c r="AC26" s="3">
        <v>92</v>
      </c>
      <c r="AD26" s="15">
        <v>0.22</v>
      </c>
      <c r="AE26" s="3">
        <v>88</v>
      </c>
    </row>
    <row r="27" spans="1:31">
      <c r="A27">
        <v>33</v>
      </c>
      <c r="B27">
        <v>120</v>
      </c>
      <c r="C27">
        <f t="shared" si="0"/>
        <v>5000</v>
      </c>
      <c r="I27">
        <v>24</v>
      </c>
      <c r="K27">
        <v>2047</v>
      </c>
      <c r="M27" s="12">
        <v>6.7500000000000004E-2</v>
      </c>
      <c r="N27">
        <v>26</v>
      </c>
      <c r="O27" s="15">
        <v>0.23</v>
      </c>
      <c r="P27" s="12">
        <v>5.7500000000000002E-2</v>
      </c>
      <c r="Q27" s="12">
        <v>5.7500000000000002E-2</v>
      </c>
      <c r="R27" s="15">
        <v>0.23</v>
      </c>
      <c r="V27" t="s">
        <v>204</v>
      </c>
      <c r="W27" t="s">
        <v>336</v>
      </c>
      <c r="Z27">
        <v>2053</v>
      </c>
      <c r="AB27" s="3"/>
      <c r="AC27" s="3">
        <v>96</v>
      </c>
      <c r="AD27" s="15">
        <v>0.23</v>
      </c>
      <c r="AE27" s="3">
        <v>92</v>
      </c>
    </row>
    <row r="28" spans="1:31">
      <c r="A28">
        <v>34</v>
      </c>
      <c r="B28">
        <v>125</v>
      </c>
      <c r="C28">
        <f t="shared" si="0"/>
        <v>6000</v>
      </c>
      <c r="I28">
        <v>25</v>
      </c>
      <c r="K28">
        <v>2048</v>
      </c>
      <c r="M28" s="12">
        <v>7.0000000000000007E-2</v>
      </c>
      <c r="N28">
        <v>27</v>
      </c>
      <c r="O28" s="15">
        <v>0.24</v>
      </c>
      <c r="P28" s="12">
        <v>0.06</v>
      </c>
      <c r="Q28" s="12">
        <v>0.06</v>
      </c>
      <c r="R28" s="15">
        <v>0.24</v>
      </c>
      <c r="V28" t="s">
        <v>334</v>
      </c>
      <c r="W28" t="s">
        <v>337</v>
      </c>
      <c r="Z28">
        <v>2054</v>
      </c>
      <c r="AB28" s="3"/>
      <c r="AC28" s="3">
        <v>100</v>
      </c>
      <c r="AD28" s="15">
        <v>0.24</v>
      </c>
      <c r="AE28" s="3">
        <v>96</v>
      </c>
    </row>
    <row r="29" spans="1:31">
      <c r="A29">
        <v>35</v>
      </c>
      <c r="B29">
        <v>130</v>
      </c>
      <c r="C29">
        <f t="shared" si="0"/>
        <v>7000</v>
      </c>
      <c r="I29">
        <v>26</v>
      </c>
      <c r="K29">
        <v>2049</v>
      </c>
      <c r="M29" s="12">
        <v>7.2499999999999995E-2</v>
      </c>
      <c r="N29">
        <v>28</v>
      </c>
      <c r="O29" s="15">
        <v>0.25</v>
      </c>
      <c r="P29" s="12">
        <v>6.25E-2</v>
      </c>
      <c r="Q29" s="12">
        <v>6.25E-2</v>
      </c>
      <c r="R29" s="15">
        <v>0.25</v>
      </c>
      <c r="V29" t="s">
        <v>335</v>
      </c>
      <c r="W29" t="s">
        <v>339</v>
      </c>
      <c r="Z29">
        <v>2055</v>
      </c>
      <c r="AB29" s="3"/>
      <c r="AC29" s="3">
        <v>104</v>
      </c>
      <c r="AD29" s="15">
        <v>0.25</v>
      </c>
      <c r="AE29" s="3">
        <v>100</v>
      </c>
    </row>
    <row r="30" spans="1:31">
      <c r="A30">
        <v>36</v>
      </c>
      <c r="B30">
        <v>135</v>
      </c>
      <c r="C30">
        <f t="shared" si="0"/>
        <v>8000</v>
      </c>
      <c r="I30">
        <v>27</v>
      </c>
      <c r="K30">
        <v>2050</v>
      </c>
      <c r="M30" s="12">
        <v>7.4999999999999997E-2</v>
      </c>
      <c r="N30">
        <v>29</v>
      </c>
      <c r="O30" s="15">
        <v>0.26</v>
      </c>
      <c r="P30" s="12">
        <v>6.5000000000000002E-2</v>
      </c>
      <c r="Q30" s="12">
        <v>6.5000000000000002E-2</v>
      </c>
      <c r="R30" s="15">
        <v>0.26</v>
      </c>
      <c r="V30" t="s">
        <v>336</v>
      </c>
      <c r="W30" t="s">
        <v>340</v>
      </c>
      <c r="Z30">
        <v>2056</v>
      </c>
      <c r="AB30" s="3"/>
      <c r="AC30" s="3">
        <v>108</v>
      </c>
      <c r="AD30" s="15">
        <v>0.26</v>
      </c>
      <c r="AE30" s="3">
        <v>104</v>
      </c>
    </row>
    <row r="31" spans="1:31">
      <c r="A31">
        <v>37</v>
      </c>
      <c r="B31">
        <v>140</v>
      </c>
      <c r="C31">
        <f t="shared" si="0"/>
        <v>9000</v>
      </c>
      <c r="I31">
        <v>28</v>
      </c>
      <c r="M31" s="12">
        <v>7.7499999999999999E-2</v>
      </c>
      <c r="N31">
        <v>30</v>
      </c>
      <c r="O31" s="15">
        <v>0.27</v>
      </c>
      <c r="P31" s="12">
        <v>6.7500000000000004E-2</v>
      </c>
      <c r="Q31" s="12">
        <v>6.7500000000000004E-2</v>
      </c>
      <c r="R31" s="15">
        <v>0.27</v>
      </c>
      <c r="V31" t="s">
        <v>337</v>
      </c>
      <c r="W31" t="s">
        <v>341</v>
      </c>
      <c r="Z31">
        <v>2057</v>
      </c>
      <c r="AB31" s="3"/>
      <c r="AC31" s="3">
        <v>112</v>
      </c>
      <c r="AD31" s="15">
        <v>0.27</v>
      </c>
      <c r="AE31" s="3">
        <v>108</v>
      </c>
    </row>
    <row r="32" spans="1:31">
      <c r="A32">
        <v>38</v>
      </c>
      <c r="B32">
        <v>145</v>
      </c>
      <c r="C32">
        <f t="shared" si="0"/>
        <v>10000</v>
      </c>
      <c r="I32">
        <v>29</v>
      </c>
      <c r="M32" s="12">
        <v>0.08</v>
      </c>
      <c r="N32">
        <v>31</v>
      </c>
      <c r="O32" s="15">
        <v>0.28000000000000003</v>
      </c>
      <c r="P32" s="12">
        <v>7.0000000000000007E-2</v>
      </c>
      <c r="Q32" s="12">
        <v>7.0000000000000007E-2</v>
      </c>
      <c r="R32" s="15">
        <v>0.28000000000000003</v>
      </c>
      <c r="V32" t="s">
        <v>338</v>
      </c>
      <c r="W32" t="s">
        <v>342</v>
      </c>
      <c r="Z32">
        <v>2058</v>
      </c>
      <c r="AB32" s="3"/>
      <c r="AC32" s="3">
        <v>116</v>
      </c>
      <c r="AD32" s="15">
        <v>0.28000000000000003</v>
      </c>
      <c r="AE32" s="3">
        <v>112</v>
      </c>
    </row>
    <row r="33" spans="1:31">
      <c r="A33">
        <v>39</v>
      </c>
      <c r="B33">
        <v>150</v>
      </c>
      <c r="C33">
        <f t="shared" si="0"/>
        <v>20000</v>
      </c>
      <c r="I33">
        <v>30</v>
      </c>
      <c r="M33" s="12">
        <v>8.2500000000000004E-2</v>
      </c>
      <c r="N33">
        <v>32</v>
      </c>
      <c r="O33" s="15">
        <v>0.28999999999999998</v>
      </c>
      <c r="P33" s="12">
        <v>7.2499999999999995E-2</v>
      </c>
      <c r="Q33" s="12">
        <v>7.2499999999999995E-2</v>
      </c>
      <c r="R33" s="15">
        <v>0.28999999999999998</v>
      </c>
      <c r="V33" t="s">
        <v>339</v>
      </c>
      <c r="W33" t="s">
        <v>343</v>
      </c>
      <c r="Z33">
        <v>2059</v>
      </c>
      <c r="AB33" s="3"/>
      <c r="AC33" s="3">
        <v>120</v>
      </c>
      <c r="AD33" s="15">
        <v>0.28999999999999998</v>
      </c>
      <c r="AE33" s="3">
        <v>116</v>
      </c>
    </row>
    <row r="34" spans="1:31">
      <c r="A34">
        <v>40</v>
      </c>
      <c r="B34">
        <v>155</v>
      </c>
      <c r="C34">
        <f t="shared" si="0"/>
        <v>30000</v>
      </c>
      <c r="I34">
        <v>31</v>
      </c>
      <c r="M34" s="12">
        <v>8.5000000000000006E-2</v>
      </c>
      <c r="N34">
        <v>33</v>
      </c>
      <c r="O34" s="15">
        <v>0.3</v>
      </c>
      <c r="P34" s="12">
        <v>7.4999999999999997E-2</v>
      </c>
      <c r="Q34" s="12">
        <v>7.4999999999999997E-2</v>
      </c>
      <c r="R34" s="15">
        <v>0.3</v>
      </c>
      <c r="V34" t="s">
        <v>340</v>
      </c>
      <c r="W34" t="s">
        <v>344</v>
      </c>
      <c r="Z34">
        <v>2060</v>
      </c>
      <c r="AB34" s="3"/>
      <c r="AC34" s="3">
        <v>124</v>
      </c>
      <c r="AD34" s="15">
        <v>0.3</v>
      </c>
      <c r="AE34" s="3">
        <v>120</v>
      </c>
    </row>
    <row r="35" spans="1:31">
      <c r="A35">
        <v>41</v>
      </c>
      <c r="B35">
        <v>160</v>
      </c>
      <c r="C35">
        <f t="shared" si="0"/>
        <v>40000</v>
      </c>
      <c r="I35">
        <v>32</v>
      </c>
      <c r="M35" s="12">
        <v>8.7499999999999994E-2</v>
      </c>
      <c r="N35">
        <v>34</v>
      </c>
      <c r="O35" s="15">
        <v>0.31</v>
      </c>
      <c r="P35" s="12">
        <v>7.7499999999999999E-2</v>
      </c>
      <c r="Q35" s="12">
        <v>7.7499999999999999E-2</v>
      </c>
      <c r="R35" s="15">
        <v>0.31</v>
      </c>
      <c r="V35" t="s">
        <v>341</v>
      </c>
      <c r="W35" t="s">
        <v>345</v>
      </c>
      <c r="Z35">
        <v>2061</v>
      </c>
      <c r="AB35" s="3"/>
      <c r="AC35" s="3">
        <v>128</v>
      </c>
      <c r="AD35" s="15">
        <v>0.31</v>
      </c>
      <c r="AE35" s="3">
        <v>124</v>
      </c>
    </row>
    <row r="36" spans="1:31">
      <c r="A36">
        <v>42</v>
      </c>
      <c r="B36">
        <v>165</v>
      </c>
      <c r="C36">
        <f t="shared" si="0"/>
        <v>50000</v>
      </c>
      <c r="I36">
        <v>33</v>
      </c>
      <c r="M36" s="12">
        <v>0.09</v>
      </c>
      <c r="N36">
        <v>35</v>
      </c>
      <c r="O36" s="15">
        <v>0.32</v>
      </c>
      <c r="P36" s="12">
        <v>0.08</v>
      </c>
      <c r="Q36" s="12">
        <v>0.08</v>
      </c>
      <c r="R36" s="15">
        <v>0.32</v>
      </c>
      <c r="V36" t="s">
        <v>342</v>
      </c>
      <c r="W36" t="s">
        <v>346</v>
      </c>
      <c r="Z36">
        <v>2062</v>
      </c>
      <c r="AB36" s="3"/>
      <c r="AC36" s="3">
        <v>132</v>
      </c>
      <c r="AD36" s="15">
        <v>0.32</v>
      </c>
      <c r="AE36" s="3">
        <v>128</v>
      </c>
    </row>
    <row r="37" spans="1:31">
      <c r="A37">
        <v>43</v>
      </c>
      <c r="B37">
        <v>170</v>
      </c>
      <c r="I37">
        <v>34</v>
      </c>
      <c r="M37" s="12">
        <v>9.2499999999999999E-2</v>
      </c>
      <c r="N37">
        <v>36</v>
      </c>
      <c r="O37" s="15">
        <v>0.33</v>
      </c>
      <c r="P37" s="12">
        <v>8.2500000000000004E-2</v>
      </c>
      <c r="Q37" s="12">
        <v>8.2500000000000004E-2</v>
      </c>
      <c r="R37" s="15">
        <v>0.33</v>
      </c>
      <c r="V37" t="s">
        <v>343</v>
      </c>
      <c r="W37" t="s">
        <v>347</v>
      </c>
      <c r="Z37">
        <v>2063</v>
      </c>
      <c r="AB37" s="3"/>
      <c r="AC37" s="3">
        <v>136</v>
      </c>
      <c r="AD37" s="15">
        <v>0.33</v>
      </c>
      <c r="AE37" s="3">
        <v>132</v>
      </c>
    </row>
    <row r="38" spans="1:31">
      <c r="A38">
        <v>44</v>
      </c>
      <c r="B38">
        <v>175</v>
      </c>
      <c r="I38">
        <v>35</v>
      </c>
      <c r="M38" s="12">
        <v>9.5000000000000001E-2</v>
      </c>
      <c r="N38">
        <v>37</v>
      </c>
      <c r="O38" s="15">
        <v>0.34</v>
      </c>
      <c r="P38" s="12">
        <v>8.5000000000000006E-2</v>
      </c>
      <c r="Q38" s="12">
        <v>8.5000000000000006E-2</v>
      </c>
      <c r="R38" s="15">
        <v>0.34</v>
      </c>
      <c r="V38" t="s">
        <v>344</v>
      </c>
      <c r="W38" t="s">
        <v>349</v>
      </c>
      <c r="Z38">
        <v>2064</v>
      </c>
      <c r="AB38" s="3"/>
      <c r="AC38" s="3">
        <v>140</v>
      </c>
      <c r="AD38" s="15">
        <v>0.34</v>
      </c>
      <c r="AE38" s="3">
        <v>136</v>
      </c>
    </row>
    <row r="39" spans="1:31">
      <c r="A39">
        <v>45</v>
      </c>
      <c r="B39">
        <v>180</v>
      </c>
      <c r="I39">
        <v>36</v>
      </c>
      <c r="M39" s="12">
        <v>9.7500000000000003E-2</v>
      </c>
      <c r="N39">
        <v>38</v>
      </c>
      <c r="O39" s="15">
        <v>0.35</v>
      </c>
      <c r="P39" s="12">
        <v>8.7499999999999994E-2</v>
      </c>
      <c r="Q39" s="12">
        <v>8.7499999999999994E-2</v>
      </c>
      <c r="R39" s="15">
        <v>0.35</v>
      </c>
      <c r="V39" t="s">
        <v>345</v>
      </c>
      <c r="W39" t="s">
        <v>350</v>
      </c>
      <c r="Z39">
        <v>2065</v>
      </c>
      <c r="AB39" s="3"/>
      <c r="AC39" s="3">
        <v>144</v>
      </c>
      <c r="AD39" s="15">
        <v>0.35</v>
      </c>
      <c r="AE39" s="3">
        <v>140</v>
      </c>
    </row>
    <row r="40" spans="1:31">
      <c r="A40">
        <v>46</v>
      </c>
      <c r="B40">
        <v>185</v>
      </c>
      <c r="I40">
        <v>37</v>
      </c>
      <c r="M40" s="12">
        <v>0.1</v>
      </c>
      <c r="N40">
        <v>39</v>
      </c>
      <c r="O40" s="15">
        <v>0.36</v>
      </c>
      <c r="P40" s="12">
        <v>0.09</v>
      </c>
      <c r="Q40" s="12">
        <v>0.09</v>
      </c>
      <c r="R40" s="15">
        <v>0.36</v>
      </c>
      <c r="V40" t="s">
        <v>346</v>
      </c>
      <c r="W40" t="s">
        <v>351</v>
      </c>
      <c r="Z40">
        <v>2066</v>
      </c>
      <c r="AB40" s="3"/>
      <c r="AC40" s="3">
        <v>148</v>
      </c>
      <c r="AD40" s="15">
        <v>0.36</v>
      </c>
      <c r="AE40" s="3">
        <v>144</v>
      </c>
    </row>
    <row r="41" spans="1:31">
      <c r="A41">
        <v>47</v>
      </c>
      <c r="B41">
        <v>190</v>
      </c>
      <c r="I41">
        <v>38</v>
      </c>
      <c r="M41" s="12">
        <v>0.10249999999999999</v>
      </c>
      <c r="N41">
        <v>40</v>
      </c>
      <c r="O41" s="15">
        <v>0.37</v>
      </c>
      <c r="P41" s="12">
        <v>9.2499999999999999E-2</v>
      </c>
      <c r="Q41" s="12">
        <v>9.2499999999999999E-2</v>
      </c>
      <c r="R41" s="15">
        <v>0.37</v>
      </c>
      <c r="V41" t="s">
        <v>347</v>
      </c>
      <c r="W41" t="s">
        <v>205</v>
      </c>
      <c r="Z41">
        <v>2067</v>
      </c>
      <c r="AB41" s="3"/>
      <c r="AC41" s="3">
        <v>152</v>
      </c>
      <c r="AD41" s="15">
        <v>0.37</v>
      </c>
      <c r="AE41" s="3">
        <v>148</v>
      </c>
    </row>
    <row r="42" spans="1:31">
      <c r="A42">
        <v>48</v>
      </c>
      <c r="B42">
        <v>195</v>
      </c>
      <c r="I42">
        <v>39</v>
      </c>
      <c r="M42" s="12">
        <v>0.105</v>
      </c>
      <c r="N42">
        <v>41</v>
      </c>
      <c r="O42" s="15">
        <v>0.38</v>
      </c>
      <c r="P42" s="12">
        <v>9.5000000000000001E-2</v>
      </c>
      <c r="Q42" s="12">
        <v>9.5000000000000001E-2</v>
      </c>
      <c r="R42" s="15">
        <v>0.38</v>
      </c>
      <c r="V42" t="s">
        <v>348</v>
      </c>
      <c r="W42" t="s">
        <v>352</v>
      </c>
      <c r="Z42">
        <v>2068</v>
      </c>
      <c r="AB42" s="3"/>
      <c r="AC42" s="3">
        <v>156</v>
      </c>
      <c r="AD42" s="15">
        <v>0.38</v>
      </c>
      <c r="AE42" s="3">
        <v>152</v>
      </c>
    </row>
    <row r="43" spans="1:31">
      <c r="A43">
        <v>49</v>
      </c>
      <c r="B43">
        <v>200</v>
      </c>
      <c r="I43">
        <v>40</v>
      </c>
      <c r="M43" s="12">
        <v>0.1075</v>
      </c>
      <c r="N43">
        <v>42</v>
      </c>
      <c r="O43" s="15">
        <v>0.39</v>
      </c>
      <c r="P43" s="12">
        <v>9.7500000000000003E-2</v>
      </c>
      <c r="Q43" s="12">
        <v>9.7500000000000003E-2</v>
      </c>
      <c r="R43" s="15">
        <v>0.39</v>
      </c>
      <c r="V43" t="s">
        <v>349</v>
      </c>
      <c r="W43" t="s">
        <v>353</v>
      </c>
      <c r="Z43">
        <v>2069</v>
      </c>
      <c r="AB43" s="3"/>
      <c r="AC43" s="3">
        <v>160</v>
      </c>
      <c r="AD43" s="15">
        <v>0.39</v>
      </c>
      <c r="AE43" s="3">
        <v>156</v>
      </c>
    </row>
    <row r="44" spans="1:31">
      <c r="A44">
        <v>50</v>
      </c>
      <c r="B44">
        <v>205</v>
      </c>
      <c r="I44">
        <v>41</v>
      </c>
      <c r="M44" s="12">
        <v>0.11</v>
      </c>
      <c r="N44">
        <v>43</v>
      </c>
      <c r="O44" s="15">
        <v>0.4</v>
      </c>
      <c r="P44" s="12">
        <v>0.1</v>
      </c>
      <c r="Q44" s="12">
        <v>0.1</v>
      </c>
      <c r="R44" s="15">
        <v>0.4</v>
      </c>
      <c r="V44" t="s">
        <v>350</v>
      </c>
      <c r="W44" t="s">
        <v>354</v>
      </c>
      <c r="Z44">
        <v>2070</v>
      </c>
      <c r="AB44" s="3"/>
      <c r="AC44" s="3">
        <v>164</v>
      </c>
      <c r="AD44" s="15">
        <v>0.4</v>
      </c>
      <c r="AE44" s="3">
        <v>160</v>
      </c>
    </row>
    <row r="45" spans="1:31">
      <c r="A45">
        <v>51</v>
      </c>
      <c r="B45">
        <v>210</v>
      </c>
      <c r="I45">
        <v>42</v>
      </c>
      <c r="M45" s="12">
        <v>0.1125</v>
      </c>
      <c r="N45">
        <v>44</v>
      </c>
      <c r="O45" s="15">
        <v>0.41</v>
      </c>
      <c r="P45" s="12">
        <v>0.10249999999999999</v>
      </c>
      <c r="Q45" s="12">
        <v>0.10249999999999999</v>
      </c>
      <c r="R45" s="15">
        <v>0.41</v>
      </c>
      <c r="V45" t="s">
        <v>351</v>
      </c>
      <c r="W45" t="s">
        <v>355</v>
      </c>
      <c r="Z45">
        <v>2071</v>
      </c>
      <c r="AB45" s="3"/>
      <c r="AC45" s="3">
        <v>168</v>
      </c>
      <c r="AD45" s="15">
        <v>0.41</v>
      </c>
      <c r="AE45" s="3">
        <v>164</v>
      </c>
    </row>
    <row r="46" spans="1:31">
      <c r="A46">
        <v>52</v>
      </c>
      <c r="B46">
        <v>215</v>
      </c>
      <c r="I46">
        <v>43</v>
      </c>
      <c r="M46" s="12">
        <v>0.115</v>
      </c>
      <c r="N46">
        <v>45</v>
      </c>
      <c r="O46" s="15">
        <v>0.42</v>
      </c>
      <c r="P46" s="12">
        <v>0.105</v>
      </c>
      <c r="Q46" s="12">
        <v>0.105</v>
      </c>
      <c r="R46" s="15">
        <v>0.42</v>
      </c>
      <c r="V46" t="s">
        <v>205</v>
      </c>
      <c r="W46" t="s">
        <v>356</v>
      </c>
      <c r="Z46">
        <v>2072</v>
      </c>
      <c r="AB46" s="3"/>
      <c r="AC46" s="3">
        <v>172</v>
      </c>
      <c r="AD46" s="15">
        <v>0.42</v>
      </c>
      <c r="AE46" s="3">
        <v>168</v>
      </c>
    </row>
    <row r="47" spans="1:31">
      <c r="A47">
        <v>53</v>
      </c>
      <c r="B47">
        <v>220</v>
      </c>
      <c r="I47">
        <v>44</v>
      </c>
      <c r="M47" s="12">
        <v>0.11749999999999999</v>
      </c>
      <c r="N47">
        <v>46</v>
      </c>
      <c r="O47" s="15">
        <v>0.43</v>
      </c>
      <c r="P47" s="12">
        <v>0.1075</v>
      </c>
      <c r="Q47" s="12">
        <v>0.1075</v>
      </c>
      <c r="R47" s="15">
        <v>0.43</v>
      </c>
      <c r="V47" t="s">
        <v>352</v>
      </c>
      <c r="W47" t="s">
        <v>357</v>
      </c>
      <c r="Z47">
        <v>2073</v>
      </c>
      <c r="AB47" s="3"/>
      <c r="AC47" s="3">
        <v>176</v>
      </c>
      <c r="AD47" s="15">
        <v>0.43</v>
      </c>
      <c r="AE47" s="3">
        <v>172</v>
      </c>
    </row>
    <row r="48" spans="1:31">
      <c r="A48">
        <v>54</v>
      </c>
      <c r="B48">
        <v>225</v>
      </c>
      <c r="I48">
        <v>45</v>
      </c>
      <c r="M48" s="12">
        <v>0.12</v>
      </c>
      <c r="N48">
        <v>47</v>
      </c>
      <c r="O48" s="15">
        <v>0.44</v>
      </c>
      <c r="P48" s="12">
        <v>0.11</v>
      </c>
      <c r="Q48" s="12">
        <v>0.11</v>
      </c>
      <c r="R48" s="15">
        <v>0.44</v>
      </c>
      <c r="V48" t="s">
        <v>353</v>
      </c>
      <c r="W48" t="s">
        <v>358</v>
      </c>
      <c r="Z48">
        <v>2074</v>
      </c>
      <c r="AB48" s="3"/>
      <c r="AC48" s="3">
        <v>180</v>
      </c>
      <c r="AD48" s="15">
        <v>0.44</v>
      </c>
      <c r="AE48" s="3">
        <v>176</v>
      </c>
    </row>
    <row r="49" spans="1:31">
      <c r="A49">
        <v>55</v>
      </c>
      <c r="B49">
        <v>230</v>
      </c>
      <c r="I49">
        <v>46</v>
      </c>
      <c r="M49" s="12">
        <v>0.1225</v>
      </c>
      <c r="N49">
        <v>48</v>
      </c>
      <c r="O49" s="15">
        <v>0.45</v>
      </c>
      <c r="P49" s="12">
        <v>0.1125</v>
      </c>
      <c r="Q49" s="12">
        <v>0.1125</v>
      </c>
      <c r="R49" s="15">
        <v>0.45</v>
      </c>
      <c r="V49" t="s">
        <v>354</v>
      </c>
      <c r="Z49">
        <v>2075</v>
      </c>
      <c r="AB49" s="3"/>
      <c r="AC49" s="3">
        <v>184</v>
      </c>
      <c r="AD49" s="15">
        <v>0.45</v>
      </c>
      <c r="AE49" s="3">
        <v>180</v>
      </c>
    </row>
    <row r="50" spans="1:31">
      <c r="A50">
        <v>56</v>
      </c>
      <c r="B50">
        <v>235</v>
      </c>
      <c r="I50">
        <v>47</v>
      </c>
      <c r="M50" s="12">
        <v>0.125</v>
      </c>
      <c r="N50">
        <v>49</v>
      </c>
      <c r="O50" s="15">
        <v>0.46</v>
      </c>
      <c r="P50" s="12">
        <v>0.115</v>
      </c>
      <c r="Q50" s="12">
        <v>0.115</v>
      </c>
      <c r="R50" s="15">
        <v>0.46</v>
      </c>
      <c r="V50" t="s">
        <v>355</v>
      </c>
      <c r="Z50">
        <v>2076</v>
      </c>
      <c r="AB50" s="3"/>
      <c r="AC50" s="3">
        <v>188</v>
      </c>
      <c r="AD50" s="15">
        <v>0.46</v>
      </c>
      <c r="AE50" s="3">
        <v>184</v>
      </c>
    </row>
    <row r="51" spans="1:31">
      <c r="A51">
        <v>57</v>
      </c>
      <c r="B51">
        <v>240</v>
      </c>
      <c r="I51">
        <v>48</v>
      </c>
      <c r="M51" s="12">
        <v>0.1275</v>
      </c>
      <c r="N51">
        <v>50</v>
      </c>
      <c r="O51" s="15">
        <v>0.47</v>
      </c>
      <c r="P51" s="12">
        <v>0.11749999999999999</v>
      </c>
      <c r="Q51" s="12">
        <v>0.11749999999999999</v>
      </c>
      <c r="R51" s="15">
        <v>0.47</v>
      </c>
      <c r="V51" t="s">
        <v>356</v>
      </c>
      <c r="Z51">
        <v>2077</v>
      </c>
      <c r="AB51" s="3"/>
      <c r="AC51" s="3">
        <v>192</v>
      </c>
      <c r="AD51" s="15">
        <v>0.47</v>
      </c>
      <c r="AE51" s="3">
        <v>188</v>
      </c>
    </row>
    <row r="52" spans="1:31">
      <c r="A52">
        <v>58</v>
      </c>
      <c r="B52">
        <v>245</v>
      </c>
      <c r="I52">
        <v>49</v>
      </c>
      <c r="M52" s="12">
        <v>0.13</v>
      </c>
      <c r="O52" s="15">
        <v>0.48</v>
      </c>
      <c r="P52" s="12">
        <v>0.12</v>
      </c>
      <c r="Q52" s="12">
        <v>0.12</v>
      </c>
      <c r="R52" s="15">
        <v>0.48</v>
      </c>
      <c r="V52" t="s">
        <v>357</v>
      </c>
      <c r="Z52">
        <v>2078</v>
      </c>
      <c r="AB52" s="3"/>
      <c r="AC52" s="3">
        <v>196</v>
      </c>
      <c r="AD52" s="15">
        <v>0.48</v>
      </c>
      <c r="AE52" s="3">
        <v>192</v>
      </c>
    </row>
    <row r="53" spans="1:31">
      <c r="A53">
        <v>59</v>
      </c>
      <c r="B53">
        <v>250</v>
      </c>
      <c r="I53">
        <v>50</v>
      </c>
      <c r="M53" s="12">
        <v>0.13250000000000001</v>
      </c>
      <c r="O53" s="15">
        <v>0.49</v>
      </c>
      <c r="P53" s="12">
        <v>0.1225</v>
      </c>
      <c r="Q53" s="12">
        <v>0.1225</v>
      </c>
      <c r="R53" s="15">
        <v>0.49</v>
      </c>
      <c r="V53" t="s">
        <v>358</v>
      </c>
      <c r="Z53">
        <v>2079</v>
      </c>
      <c r="AB53" s="3"/>
      <c r="AC53" s="3">
        <v>200</v>
      </c>
      <c r="AD53" s="15">
        <v>0.49</v>
      </c>
      <c r="AE53" s="3">
        <v>196</v>
      </c>
    </row>
    <row r="54" spans="1:31">
      <c r="A54">
        <v>60</v>
      </c>
      <c r="B54">
        <v>255</v>
      </c>
      <c r="M54" s="12">
        <v>0.13500000000000001</v>
      </c>
      <c r="O54" s="15">
        <v>0.5</v>
      </c>
      <c r="P54" s="12">
        <v>0.125</v>
      </c>
      <c r="Q54" s="12">
        <v>0.125</v>
      </c>
      <c r="R54" s="15">
        <v>0.5</v>
      </c>
      <c r="Z54">
        <v>2080</v>
      </c>
      <c r="AB54" s="3"/>
      <c r="AC54" s="3">
        <v>204</v>
      </c>
      <c r="AD54" s="15">
        <v>0.5</v>
      </c>
      <c r="AE54" s="3">
        <v>200</v>
      </c>
    </row>
    <row r="55" spans="1:31">
      <c r="A55">
        <v>61</v>
      </c>
      <c r="B55">
        <v>260</v>
      </c>
      <c r="M55" s="12">
        <v>0.13750000000000001</v>
      </c>
      <c r="O55" s="15">
        <v>0.51</v>
      </c>
      <c r="P55" s="12">
        <v>0.1275</v>
      </c>
      <c r="Q55" s="12">
        <v>0.1275</v>
      </c>
      <c r="R55" s="15">
        <v>0.51</v>
      </c>
      <c r="Z55">
        <v>2081</v>
      </c>
      <c r="AB55" s="3"/>
      <c r="AC55" s="3">
        <v>208</v>
      </c>
      <c r="AD55" s="15">
        <v>0.51</v>
      </c>
      <c r="AE55" s="3">
        <v>204</v>
      </c>
    </row>
    <row r="56" spans="1:31">
      <c r="A56">
        <v>62</v>
      </c>
      <c r="B56">
        <v>265</v>
      </c>
      <c r="M56" s="12">
        <v>0.14000000000000001</v>
      </c>
      <c r="O56" s="15">
        <v>0.52</v>
      </c>
      <c r="P56" s="12">
        <v>0.13</v>
      </c>
      <c r="Q56" s="12">
        <v>0.13</v>
      </c>
      <c r="R56" s="15">
        <v>0.52</v>
      </c>
      <c r="Z56">
        <v>2082</v>
      </c>
      <c r="AB56" s="3"/>
      <c r="AC56" s="3">
        <v>212</v>
      </c>
      <c r="AD56" s="15">
        <v>0.52</v>
      </c>
      <c r="AE56" s="3">
        <v>208</v>
      </c>
    </row>
    <row r="57" spans="1:31">
      <c r="A57">
        <v>63</v>
      </c>
      <c r="B57">
        <v>270</v>
      </c>
      <c r="M57" s="12">
        <v>0.14249999999999999</v>
      </c>
      <c r="O57" s="15">
        <v>0.53</v>
      </c>
      <c r="P57" s="12">
        <v>0.13250000000000001</v>
      </c>
      <c r="Q57" s="12">
        <v>0.13250000000000001</v>
      </c>
      <c r="R57" s="15">
        <v>0.53</v>
      </c>
      <c r="Z57">
        <v>2083</v>
      </c>
      <c r="AB57" s="3"/>
      <c r="AC57" s="3">
        <v>216</v>
      </c>
      <c r="AD57" s="15">
        <v>0.53</v>
      </c>
      <c r="AE57" s="3">
        <v>212</v>
      </c>
    </row>
    <row r="58" spans="1:31">
      <c r="A58">
        <v>64</v>
      </c>
      <c r="B58">
        <v>275</v>
      </c>
      <c r="M58" s="12">
        <v>0.14499999999999999</v>
      </c>
      <c r="O58" s="15">
        <v>0.54</v>
      </c>
      <c r="P58" s="12">
        <v>0.13500000000000001</v>
      </c>
      <c r="Q58" s="12">
        <v>0.13500000000000001</v>
      </c>
      <c r="R58" s="15">
        <v>0.54</v>
      </c>
      <c r="Z58">
        <v>2084</v>
      </c>
      <c r="AB58" s="3"/>
      <c r="AC58" s="3">
        <v>220</v>
      </c>
      <c r="AD58" s="15">
        <v>0.54</v>
      </c>
      <c r="AE58" s="3">
        <v>216</v>
      </c>
    </row>
    <row r="59" spans="1:31">
      <c r="A59">
        <v>65</v>
      </c>
      <c r="B59">
        <v>280</v>
      </c>
      <c r="M59" s="12">
        <v>0.14749999999999999</v>
      </c>
      <c r="O59" s="15">
        <v>0.55000000000000004</v>
      </c>
      <c r="P59" s="12">
        <v>0.13750000000000001</v>
      </c>
      <c r="Q59" s="12">
        <v>0.13750000000000001</v>
      </c>
      <c r="R59" s="15">
        <v>0.55000000000000004</v>
      </c>
      <c r="Z59">
        <v>2085</v>
      </c>
      <c r="AB59" s="3"/>
      <c r="AC59" s="3">
        <v>224</v>
      </c>
      <c r="AD59" s="15">
        <v>0.55000000000000004</v>
      </c>
      <c r="AE59" s="3">
        <v>220</v>
      </c>
    </row>
    <row r="60" spans="1:31">
      <c r="A60">
        <v>66</v>
      </c>
      <c r="B60">
        <v>285</v>
      </c>
      <c r="M60" s="12">
        <v>0.15</v>
      </c>
      <c r="O60" s="15">
        <v>0.56000000000000005</v>
      </c>
      <c r="P60" s="12">
        <v>0.14000000000000001</v>
      </c>
      <c r="Q60" s="12">
        <v>0.14000000000000001</v>
      </c>
      <c r="R60" s="15">
        <v>0.56000000000000005</v>
      </c>
      <c r="Z60">
        <v>2086</v>
      </c>
      <c r="AB60" s="3"/>
      <c r="AC60" s="3">
        <v>228</v>
      </c>
      <c r="AD60" s="15">
        <v>0.56000000000000005</v>
      </c>
      <c r="AE60" s="3">
        <v>224</v>
      </c>
    </row>
    <row r="61" spans="1:31">
      <c r="A61">
        <v>67</v>
      </c>
      <c r="B61">
        <v>290</v>
      </c>
      <c r="M61" s="12">
        <v>0.1525</v>
      </c>
      <c r="O61" s="15">
        <v>0.56999999999999995</v>
      </c>
      <c r="P61" s="12">
        <v>0.14249999999999999</v>
      </c>
      <c r="Q61" s="12">
        <v>0.14249999999999999</v>
      </c>
      <c r="R61" s="15">
        <v>0.56999999999999995</v>
      </c>
      <c r="Z61">
        <v>2087</v>
      </c>
      <c r="AB61" s="3"/>
      <c r="AC61" s="3">
        <v>232</v>
      </c>
      <c r="AD61" s="15">
        <v>0.56999999999999995</v>
      </c>
      <c r="AE61" s="3">
        <v>228</v>
      </c>
    </row>
    <row r="62" spans="1:31">
      <c r="A62">
        <v>68</v>
      </c>
      <c r="B62">
        <v>295</v>
      </c>
      <c r="M62" s="12">
        <v>0.155</v>
      </c>
      <c r="O62" s="15">
        <v>0.57999999999999996</v>
      </c>
      <c r="P62" s="12">
        <v>0.14499999999999999</v>
      </c>
      <c r="Q62" s="12">
        <v>0.14499999999999999</v>
      </c>
      <c r="R62" s="15">
        <v>0.57999999999999996</v>
      </c>
      <c r="Z62">
        <v>2088</v>
      </c>
      <c r="AB62" s="3"/>
      <c r="AC62" s="3">
        <v>236</v>
      </c>
      <c r="AD62" s="15">
        <v>0.57999999999999996</v>
      </c>
      <c r="AE62" s="3">
        <v>232</v>
      </c>
    </row>
    <row r="63" spans="1:31">
      <c r="A63">
        <v>69</v>
      </c>
      <c r="B63">
        <v>300</v>
      </c>
      <c r="M63" s="12">
        <v>0.1575</v>
      </c>
      <c r="O63" s="15">
        <v>0.59</v>
      </c>
      <c r="P63" s="12">
        <v>0.14749999999999999</v>
      </c>
      <c r="Q63" s="12">
        <v>0.14749999999999999</v>
      </c>
      <c r="R63" s="15">
        <v>0.59</v>
      </c>
      <c r="Z63">
        <v>2089</v>
      </c>
      <c r="AB63" s="3"/>
      <c r="AC63" s="3">
        <v>240</v>
      </c>
      <c r="AD63" s="15">
        <v>0.59</v>
      </c>
      <c r="AE63" s="3">
        <v>236</v>
      </c>
    </row>
    <row r="64" spans="1:31">
      <c r="A64">
        <v>70</v>
      </c>
      <c r="B64">
        <v>305</v>
      </c>
      <c r="M64" s="12">
        <v>0.16</v>
      </c>
      <c r="O64" s="15">
        <v>0.6</v>
      </c>
      <c r="P64" s="12">
        <v>0.15</v>
      </c>
      <c r="Q64" s="12">
        <v>0.15</v>
      </c>
      <c r="R64" s="15">
        <v>0.6</v>
      </c>
      <c r="Z64">
        <v>2090</v>
      </c>
      <c r="AB64" s="3"/>
      <c r="AC64" s="3">
        <v>244</v>
      </c>
      <c r="AD64" s="15">
        <v>0.6</v>
      </c>
      <c r="AE64" s="3">
        <v>240</v>
      </c>
    </row>
    <row r="65" spans="1:31">
      <c r="A65">
        <v>71</v>
      </c>
      <c r="B65">
        <v>310</v>
      </c>
      <c r="M65" s="12">
        <v>0.16250000000000001</v>
      </c>
      <c r="O65" s="15">
        <v>0.61</v>
      </c>
      <c r="P65" s="12">
        <v>0.1525</v>
      </c>
      <c r="Q65" s="12">
        <v>0.1525</v>
      </c>
      <c r="R65" s="15">
        <v>0.61</v>
      </c>
      <c r="Z65">
        <v>2091</v>
      </c>
      <c r="AB65" s="3"/>
      <c r="AC65" s="3">
        <v>248</v>
      </c>
      <c r="AD65" s="15">
        <v>0.61</v>
      </c>
      <c r="AE65" s="3">
        <v>244</v>
      </c>
    </row>
    <row r="66" spans="1:31">
      <c r="A66">
        <v>72</v>
      </c>
      <c r="B66">
        <v>315</v>
      </c>
      <c r="M66" s="12">
        <v>0.16500000000000001</v>
      </c>
      <c r="O66" s="15">
        <v>0.62</v>
      </c>
      <c r="P66" s="12">
        <v>0.155</v>
      </c>
      <c r="Q66" s="12">
        <v>0.155</v>
      </c>
      <c r="R66" s="15">
        <v>0.62</v>
      </c>
      <c r="Z66">
        <v>2092</v>
      </c>
      <c r="AB66" s="3"/>
      <c r="AC66" s="3">
        <v>252</v>
      </c>
      <c r="AD66" s="15">
        <v>0.62</v>
      </c>
      <c r="AE66" s="3">
        <v>248</v>
      </c>
    </row>
    <row r="67" spans="1:31">
      <c r="A67">
        <v>73</v>
      </c>
      <c r="B67">
        <v>320</v>
      </c>
      <c r="M67" s="12">
        <v>0.16750000000000001</v>
      </c>
      <c r="O67" s="15">
        <v>0.63</v>
      </c>
      <c r="P67" s="12">
        <v>0.1575</v>
      </c>
      <c r="Q67" s="12">
        <v>0.1575</v>
      </c>
      <c r="R67" s="15">
        <v>0.63</v>
      </c>
      <c r="Z67">
        <v>2093</v>
      </c>
      <c r="AB67" s="3"/>
      <c r="AC67" s="3">
        <v>256</v>
      </c>
      <c r="AD67" s="15">
        <v>0.63</v>
      </c>
      <c r="AE67" s="3">
        <v>252</v>
      </c>
    </row>
    <row r="68" spans="1:31">
      <c r="A68">
        <v>74</v>
      </c>
      <c r="B68">
        <v>325</v>
      </c>
      <c r="M68" s="12">
        <v>0.17</v>
      </c>
      <c r="O68" s="15">
        <v>0.64</v>
      </c>
      <c r="P68" s="12">
        <v>0.16</v>
      </c>
      <c r="Q68" s="12">
        <v>0.16</v>
      </c>
      <c r="R68" s="15">
        <v>0.64</v>
      </c>
      <c r="Z68">
        <v>2094</v>
      </c>
      <c r="AB68" s="3"/>
      <c r="AC68" s="3">
        <v>260</v>
      </c>
      <c r="AD68" s="15">
        <v>0.64</v>
      </c>
      <c r="AE68" s="3">
        <v>256</v>
      </c>
    </row>
    <row r="69" spans="1:31">
      <c r="A69">
        <v>75</v>
      </c>
      <c r="B69">
        <v>330</v>
      </c>
      <c r="M69" s="12">
        <v>0.17249999999999999</v>
      </c>
      <c r="O69" s="15">
        <v>0.65</v>
      </c>
      <c r="P69" s="12">
        <v>0.16250000000000001</v>
      </c>
      <c r="Q69" s="12">
        <v>0.16250000000000001</v>
      </c>
      <c r="R69" s="15">
        <v>0.65</v>
      </c>
      <c r="Z69">
        <v>2095</v>
      </c>
      <c r="AB69" s="3"/>
      <c r="AC69" s="3">
        <v>264</v>
      </c>
      <c r="AD69" s="15">
        <v>0.65</v>
      </c>
      <c r="AE69" s="3">
        <v>260</v>
      </c>
    </row>
    <row r="70" spans="1:31">
      <c r="A70">
        <v>76</v>
      </c>
      <c r="B70">
        <v>335</v>
      </c>
      <c r="M70" s="12">
        <v>0.17499999999999999</v>
      </c>
      <c r="O70" s="15">
        <v>0.66</v>
      </c>
      <c r="P70" s="12">
        <v>0.16500000000000001</v>
      </c>
      <c r="Q70" s="12">
        <v>0.16500000000000001</v>
      </c>
      <c r="R70" s="15">
        <v>0.66</v>
      </c>
      <c r="Z70">
        <v>2096</v>
      </c>
      <c r="AB70" s="3"/>
      <c r="AC70" s="3">
        <v>268</v>
      </c>
      <c r="AD70" s="15">
        <v>0.66</v>
      </c>
      <c r="AE70" s="3">
        <v>264</v>
      </c>
    </row>
    <row r="71" spans="1:31">
      <c r="A71">
        <v>77</v>
      </c>
      <c r="B71">
        <v>340</v>
      </c>
      <c r="M71" s="12">
        <v>0.17749999999999999</v>
      </c>
      <c r="O71" s="15">
        <v>0.67</v>
      </c>
      <c r="P71" s="12">
        <v>0.16750000000000001</v>
      </c>
      <c r="Q71" s="12">
        <v>0.16750000000000001</v>
      </c>
      <c r="R71" s="15">
        <v>0.67</v>
      </c>
      <c r="Z71">
        <v>2097</v>
      </c>
      <c r="AB71" s="3"/>
      <c r="AC71" s="3">
        <v>272</v>
      </c>
      <c r="AD71" s="15">
        <v>0.67</v>
      </c>
      <c r="AE71" s="3">
        <v>268</v>
      </c>
    </row>
    <row r="72" spans="1:31">
      <c r="A72">
        <v>78</v>
      </c>
      <c r="B72">
        <v>345</v>
      </c>
      <c r="M72" s="12">
        <v>0.18</v>
      </c>
      <c r="O72" s="15">
        <v>0.68</v>
      </c>
      <c r="P72" s="12">
        <v>0.17</v>
      </c>
      <c r="Q72" s="12">
        <v>0.17</v>
      </c>
      <c r="R72" s="15">
        <v>0.68</v>
      </c>
      <c r="Z72">
        <v>2098</v>
      </c>
      <c r="AB72" s="3"/>
      <c r="AC72" s="3">
        <v>276</v>
      </c>
      <c r="AD72" s="15">
        <v>0.68</v>
      </c>
      <c r="AE72" s="3">
        <v>272</v>
      </c>
    </row>
    <row r="73" spans="1:31">
      <c r="A73">
        <v>79</v>
      </c>
      <c r="B73">
        <v>350</v>
      </c>
      <c r="M73" s="12">
        <v>0.1825</v>
      </c>
      <c r="O73" s="15">
        <v>0.69</v>
      </c>
      <c r="P73" s="12">
        <v>0.17249999999999999</v>
      </c>
      <c r="Q73" s="12">
        <v>0.17249999999999999</v>
      </c>
      <c r="R73" s="15">
        <v>0.69</v>
      </c>
      <c r="Z73">
        <v>2099</v>
      </c>
      <c r="AB73" s="3"/>
      <c r="AC73" s="3">
        <v>280</v>
      </c>
      <c r="AD73" s="15">
        <v>0.69</v>
      </c>
      <c r="AE73" s="3">
        <v>276</v>
      </c>
    </row>
    <row r="74" spans="1:31">
      <c r="A74">
        <v>80</v>
      </c>
      <c r="B74">
        <v>355</v>
      </c>
      <c r="M74" s="12">
        <v>0.185</v>
      </c>
      <c r="O74" s="15">
        <v>0.7</v>
      </c>
      <c r="P74" s="12">
        <v>0.17499999999999999</v>
      </c>
      <c r="Q74" s="12">
        <v>0.17499999999999999</v>
      </c>
      <c r="R74" s="15">
        <v>0.7</v>
      </c>
      <c r="Z74">
        <v>2100</v>
      </c>
      <c r="AB74" s="3"/>
      <c r="AC74" s="3">
        <v>284</v>
      </c>
      <c r="AD74" s="15">
        <v>0.7</v>
      </c>
      <c r="AE74" s="3">
        <v>280</v>
      </c>
    </row>
    <row r="75" spans="1:31">
      <c r="A75">
        <v>81</v>
      </c>
      <c r="B75">
        <v>360</v>
      </c>
      <c r="M75" s="12">
        <v>0.1875</v>
      </c>
      <c r="O75" s="15">
        <v>0.71</v>
      </c>
      <c r="P75" s="12">
        <v>0.17749999999999999</v>
      </c>
      <c r="Q75" s="12">
        <v>0.17749999999999999</v>
      </c>
      <c r="R75" s="15">
        <v>0.71</v>
      </c>
      <c r="AB75" s="3"/>
      <c r="AC75" s="3">
        <v>288</v>
      </c>
      <c r="AD75" s="15">
        <v>0.71</v>
      </c>
      <c r="AE75" s="3">
        <v>284</v>
      </c>
    </row>
    <row r="76" spans="1:31">
      <c r="A76">
        <v>82</v>
      </c>
      <c r="B76">
        <v>365</v>
      </c>
      <c r="M76" s="12">
        <v>0.19</v>
      </c>
      <c r="O76" s="15">
        <v>0.72</v>
      </c>
      <c r="P76" s="12">
        <v>0.18</v>
      </c>
      <c r="Q76" s="12">
        <v>0.18</v>
      </c>
      <c r="R76" s="15">
        <v>0.72</v>
      </c>
      <c r="AB76" s="3"/>
      <c r="AC76" s="3">
        <v>292</v>
      </c>
      <c r="AD76" s="15">
        <v>0.72</v>
      </c>
      <c r="AE76" s="3">
        <v>288</v>
      </c>
    </row>
    <row r="77" spans="1:31">
      <c r="A77">
        <v>83</v>
      </c>
      <c r="B77">
        <v>370</v>
      </c>
      <c r="M77" s="12">
        <v>0.1925</v>
      </c>
      <c r="O77" s="15">
        <v>0.73</v>
      </c>
      <c r="P77" s="12">
        <v>0.1825</v>
      </c>
      <c r="Q77" s="12">
        <v>0.1825</v>
      </c>
      <c r="R77" s="15">
        <v>0.73</v>
      </c>
      <c r="AB77" s="3"/>
      <c r="AC77" s="3">
        <v>296</v>
      </c>
      <c r="AD77" s="15">
        <v>0.73</v>
      </c>
      <c r="AE77" s="3">
        <v>292</v>
      </c>
    </row>
    <row r="78" spans="1:31">
      <c r="A78">
        <v>84</v>
      </c>
      <c r="B78">
        <v>375</v>
      </c>
      <c r="M78" s="12">
        <v>0.19500000000000001</v>
      </c>
      <c r="O78" s="15">
        <v>0.74</v>
      </c>
      <c r="P78" s="12">
        <v>0.185</v>
      </c>
      <c r="Q78" s="12">
        <v>0.185</v>
      </c>
      <c r="R78" s="15">
        <v>0.74</v>
      </c>
      <c r="AB78" s="3"/>
      <c r="AC78" s="3">
        <v>300</v>
      </c>
      <c r="AD78" s="15">
        <v>0.74</v>
      </c>
      <c r="AE78" s="3">
        <v>296</v>
      </c>
    </row>
    <row r="79" spans="1:31">
      <c r="A79">
        <v>85</v>
      </c>
      <c r="B79">
        <v>380</v>
      </c>
      <c r="M79" s="12">
        <v>0.19750000000000001</v>
      </c>
      <c r="O79" s="15">
        <v>0.75</v>
      </c>
      <c r="P79" s="12">
        <v>0.1875</v>
      </c>
      <c r="Q79" s="12">
        <v>0.1875</v>
      </c>
      <c r="R79" s="15">
        <v>0.75</v>
      </c>
      <c r="AB79" s="3"/>
      <c r="AC79" s="3">
        <v>304</v>
      </c>
      <c r="AD79" s="15">
        <v>0.75</v>
      </c>
      <c r="AE79" s="3">
        <v>300</v>
      </c>
    </row>
    <row r="80" spans="1:31">
      <c r="A80">
        <v>86</v>
      </c>
      <c r="B80">
        <v>385</v>
      </c>
      <c r="M80" s="12">
        <v>0.2</v>
      </c>
      <c r="O80" s="15">
        <v>0.76</v>
      </c>
      <c r="P80" s="12">
        <v>0.19</v>
      </c>
      <c r="Q80" s="12">
        <v>0.19</v>
      </c>
      <c r="R80" s="15">
        <v>0.76</v>
      </c>
      <c r="AB80" s="3"/>
      <c r="AC80" s="3">
        <v>308</v>
      </c>
      <c r="AD80" s="15">
        <v>0.76</v>
      </c>
      <c r="AE80" s="3">
        <v>304</v>
      </c>
    </row>
    <row r="81" spans="1:31">
      <c r="A81">
        <v>87</v>
      </c>
      <c r="B81">
        <v>390</v>
      </c>
      <c r="M81" s="12">
        <v>0.20250000000000001</v>
      </c>
      <c r="O81" s="15">
        <v>0.77</v>
      </c>
      <c r="P81" s="12">
        <v>0.1925</v>
      </c>
      <c r="Q81" s="12">
        <v>0.1925</v>
      </c>
      <c r="R81" s="15">
        <v>0.77</v>
      </c>
      <c r="AB81" s="3"/>
      <c r="AC81" s="3">
        <v>312</v>
      </c>
      <c r="AD81" s="15">
        <v>0.77</v>
      </c>
      <c r="AE81" s="3">
        <v>308</v>
      </c>
    </row>
    <row r="82" spans="1:31">
      <c r="A82">
        <v>88</v>
      </c>
      <c r="B82">
        <v>395</v>
      </c>
      <c r="M82" s="12">
        <v>0.20499999999999999</v>
      </c>
      <c r="O82" s="15">
        <v>0.78</v>
      </c>
      <c r="P82" s="12">
        <v>0.19500000000000001</v>
      </c>
      <c r="Q82" s="12">
        <v>0.19500000000000001</v>
      </c>
      <c r="R82" s="15">
        <v>0.78</v>
      </c>
      <c r="AB82" s="3"/>
      <c r="AC82" s="3">
        <v>316</v>
      </c>
      <c r="AD82" s="15">
        <v>0.78</v>
      </c>
      <c r="AE82" s="3">
        <v>312</v>
      </c>
    </row>
    <row r="83" spans="1:31">
      <c r="A83">
        <v>89</v>
      </c>
      <c r="B83">
        <v>400</v>
      </c>
      <c r="M83" s="12">
        <v>0.20749999999999999</v>
      </c>
      <c r="O83" s="15">
        <v>0.79</v>
      </c>
      <c r="P83" s="12">
        <v>0.19750000000000001</v>
      </c>
      <c r="Q83" s="12">
        <v>0.19750000000000001</v>
      </c>
      <c r="R83" s="15">
        <v>0.79</v>
      </c>
      <c r="AB83" s="3"/>
      <c r="AC83" s="3">
        <v>320</v>
      </c>
      <c r="AD83" s="15">
        <v>0.79</v>
      </c>
      <c r="AE83" s="3">
        <v>316</v>
      </c>
    </row>
    <row r="84" spans="1:31">
      <c r="A84">
        <v>90</v>
      </c>
      <c r="B84">
        <v>405</v>
      </c>
      <c r="M84" s="12">
        <v>0.21</v>
      </c>
      <c r="O84" s="15">
        <v>0.8</v>
      </c>
      <c r="P84" s="12">
        <v>0.2</v>
      </c>
      <c r="Q84" s="12">
        <v>0.2</v>
      </c>
      <c r="R84" s="15">
        <v>0.8</v>
      </c>
      <c r="AB84" s="3"/>
      <c r="AC84" s="3">
        <v>324</v>
      </c>
      <c r="AD84" s="15">
        <v>0.8</v>
      </c>
      <c r="AE84" s="3">
        <v>320</v>
      </c>
    </row>
    <row r="85" spans="1:31">
      <c r="A85">
        <v>91</v>
      </c>
      <c r="B85">
        <v>410</v>
      </c>
      <c r="M85" s="12">
        <v>0.21249999999999999</v>
      </c>
      <c r="O85" s="15">
        <v>0.81</v>
      </c>
      <c r="P85" s="12">
        <v>0.20250000000000001</v>
      </c>
      <c r="Q85" s="12">
        <v>0.20250000000000001</v>
      </c>
      <c r="R85" s="15">
        <v>0.81</v>
      </c>
      <c r="AB85" s="3"/>
      <c r="AC85" s="3">
        <v>328</v>
      </c>
      <c r="AD85" s="15">
        <v>0.81</v>
      </c>
      <c r="AE85" s="3">
        <v>324</v>
      </c>
    </row>
    <row r="86" spans="1:31">
      <c r="A86">
        <v>92</v>
      </c>
      <c r="B86">
        <v>415</v>
      </c>
      <c r="M86" s="12">
        <v>0.215</v>
      </c>
      <c r="O86" s="15">
        <v>0.82</v>
      </c>
      <c r="P86" s="12">
        <v>0.20499999999999999</v>
      </c>
      <c r="Q86" s="12">
        <v>0.20499999999999999</v>
      </c>
      <c r="R86" s="15">
        <v>0.82</v>
      </c>
      <c r="AB86" s="3"/>
      <c r="AC86" s="3">
        <v>332</v>
      </c>
      <c r="AD86" s="15">
        <v>0.82</v>
      </c>
      <c r="AE86" s="3">
        <v>328</v>
      </c>
    </row>
    <row r="87" spans="1:31">
      <c r="A87">
        <v>93</v>
      </c>
      <c r="B87">
        <v>420</v>
      </c>
      <c r="M87" s="12">
        <v>0.2175</v>
      </c>
      <c r="O87" s="15">
        <v>0.83</v>
      </c>
      <c r="P87" s="12">
        <v>0.20749999999999999</v>
      </c>
      <c r="Q87" s="12">
        <v>0.20749999999999999</v>
      </c>
      <c r="R87" s="15">
        <v>0.83</v>
      </c>
      <c r="AB87" s="3"/>
      <c r="AC87" s="3">
        <v>336</v>
      </c>
      <c r="AD87" s="15">
        <v>0.83</v>
      </c>
      <c r="AE87" s="3">
        <v>332</v>
      </c>
    </row>
    <row r="88" spans="1:31">
      <c r="A88">
        <v>94</v>
      </c>
      <c r="B88">
        <v>425</v>
      </c>
      <c r="M88" s="12">
        <v>0.22</v>
      </c>
      <c r="O88" s="15">
        <v>0.84</v>
      </c>
      <c r="P88" s="12">
        <v>0.21</v>
      </c>
      <c r="Q88" s="12">
        <v>0.21</v>
      </c>
      <c r="R88" s="15">
        <v>0.84</v>
      </c>
      <c r="AB88" s="3"/>
      <c r="AC88" s="3">
        <v>340</v>
      </c>
      <c r="AD88" s="15">
        <v>0.84</v>
      </c>
      <c r="AE88" s="3">
        <v>336</v>
      </c>
    </row>
    <row r="89" spans="1:31">
      <c r="A89">
        <v>95</v>
      </c>
      <c r="B89">
        <v>430</v>
      </c>
      <c r="M89" s="12">
        <v>0.2225</v>
      </c>
      <c r="O89" s="15">
        <v>0.85</v>
      </c>
      <c r="P89" s="12">
        <v>0.21249999999999999</v>
      </c>
      <c r="Q89" s="12">
        <v>0.21249999999999999</v>
      </c>
      <c r="R89" s="15">
        <v>0.85</v>
      </c>
      <c r="AB89" s="3"/>
      <c r="AC89" s="3">
        <v>344</v>
      </c>
      <c r="AD89" s="15">
        <v>0.85</v>
      </c>
      <c r="AE89" s="3">
        <v>340</v>
      </c>
    </row>
    <row r="90" spans="1:31">
      <c r="A90">
        <v>96</v>
      </c>
      <c r="B90">
        <v>435</v>
      </c>
      <c r="M90" s="12">
        <v>0.22500000000000001</v>
      </c>
      <c r="O90" s="15">
        <v>0.86</v>
      </c>
      <c r="P90" s="12">
        <v>0.215</v>
      </c>
      <c r="Q90" s="12">
        <v>0.215</v>
      </c>
      <c r="R90" s="15">
        <v>0.86</v>
      </c>
      <c r="AB90" s="3"/>
      <c r="AC90" s="3">
        <v>348</v>
      </c>
      <c r="AD90" s="15">
        <v>0.86</v>
      </c>
      <c r="AE90" s="3">
        <v>344</v>
      </c>
    </row>
    <row r="91" spans="1:31">
      <c r="A91">
        <v>97</v>
      </c>
      <c r="B91">
        <v>440</v>
      </c>
      <c r="M91" s="12">
        <v>0.22750000000000001</v>
      </c>
      <c r="O91" s="15">
        <v>0.87</v>
      </c>
      <c r="P91" s="12">
        <v>0.2175</v>
      </c>
      <c r="Q91" s="12">
        <v>0.2175</v>
      </c>
      <c r="R91" s="15">
        <v>0.87</v>
      </c>
      <c r="AB91" s="3"/>
      <c r="AC91" s="3">
        <v>352</v>
      </c>
      <c r="AD91" s="15">
        <v>0.87</v>
      </c>
      <c r="AE91" s="3">
        <v>348</v>
      </c>
    </row>
    <row r="92" spans="1:31">
      <c r="A92">
        <v>98</v>
      </c>
      <c r="B92">
        <v>445</v>
      </c>
      <c r="M92" s="12">
        <v>0.23</v>
      </c>
      <c r="O92" s="15">
        <v>0.88</v>
      </c>
      <c r="P92" s="12">
        <v>0.22</v>
      </c>
      <c r="Q92" s="12">
        <v>0.22</v>
      </c>
      <c r="R92" s="15">
        <v>0.88</v>
      </c>
      <c r="AB92" s="3"/>
      <c r="AC92" s="3">
        <v>356</v>
      </c>
      <c r="AD92" s="15">
        <v>0.88</v>
      </c>
      <c r="AE92" s="3">
        <v>352</v>
      </c>
    </row>
    <row r="93" spans="1:31">
      <c r="A93">
        <v>99</v>
      </c>
      <c r="B93">
        <v>450</v>
      </c>
      <c r="M93" s="12">
        <v>0.23250000000000001</v>
      </c>
      <c r="O93" s="15">
        <v>0.89</v>
      </c>
      <c r="P93" s="12">
        <v>0.2225</v>
      </c>
      <c r="Q93" s="12">
        <v>0.2225</v>
      </c>
      <c r="R93" s="15">
        <v>0.89</v>
      </c>
      <c r="AB93" s="3"/>
      <c r="AC93" s="3">
        <v>360</v>
      </c>
      <c r="AD93" s="15">
        <v>0.89</v>
      </c>
      <c r="AE93" s="3">
        <v>356</v>
      </c>
    </row>
    <row r="94" spans="1:31">
      <c r="A94">
        <v>100</v>
      </c>
      <c r="B94">
        <v>455</v>
      </c>
      <c r="M94" s="12">
        <v>0.23499999999999999</v>
      </c>
      <c r="O94" s="15">
        <v>0.9</v>
      </c>
      <c r="P94" s="12">
        <v>0.22500000000000001</v>
      </c>
      <c r="Q94" s="12">
        <v>0.22500000000000001</v>
      </c>
      <c r="R94" s="15">
        <v>0.9</v>
      </c>
      <c r="AB94" s="3"/>
      <c r="AC94" s="3">
        <v>364</v>
      </c>
      <c r="AD94" s="15">
        <v>0.9</v>
      </c>
      <c r="AE94" s="3">
        <v>360</v>
      </c>
    </row>
    <row r="95" spans="1:31">
      <c r="A95">
        <v>101</v>
      </c>
      <c r="B95">
        <v>460</v>
      </c>
      <c r="M95" s="12">
        <v>0.23749999999999999</v>
      </c>
      <c r="O95" s="15">
        <v>0.91</v>
      </c>
      <c r="P95" s="12">
        <v>0.22750000000000001</v>
      </c>
      <c r="Q95" s="12">
        <v>0.22750000000000001</v>
      </c>
      <c r="R95" s="15">
        <v>0.91</v>
      </c>
      <c r="AB95" s="3"/>
      <c r="AC95" s="3">
        <v>368</v>
      </c>
      <c r="AD95" s="15">
        <v>0.91</v>
      </c>
      <c r="AE95" s="3">
        <v>364</v>
      </c>
    </row>
    <row r="96" spans="1:31">
      <c r="A96">
        <v>102</v>
      </c>
      <c r="B96">
        <v>465</v>
      </c>
      <c r="M96" s="12">
        <v>0.24</v>
      </c>
      <c r="O96" s="15">
        <v>0.92</v>
      </c>
      <c r="P96" s="12">
        <v>0.23</v>
      </c>
      <c r="Q96" s="12">
        <v>0.23</v>
      </c>
      <c r="R96" s="15">
        <v>0.92</v>
      </c>
      <c r="AB96" s="3"/>
      <c r="AC96" s="3">
        <v>372</v>
      </c>
      <c r="AD96" s="15">
        <v>0.92</v>
      </c>
      <c r="AE96" s="3">
        <v>368</v>
      </c>
    </row>
    <row r="97" spans="1:31">
      <c r="A97">
        <v>103</v>
      </c>
      <c r="B97">
        <v>470</v>
      </c>
      <c r="M97" s="12">
        <v>0.24249999999999999</v>
      </c>
      <c r="O97" s="15">
        <v>0.93</v>
      </c>
      <c r="P97" s="12">
        <v>0.23250000000000001</v>
      </c>
      <c r="Q97" s="12">
        <v>0.23250000000000001</v>
      </c>
      <c r="R97" s="15">
        <v>0.93</v>
      </c>
      <c r="AB97" s="3"/>
      <c r="AC97" s="3">
        <v>376</v>
      </c>
      <c r="AD97" s="15">
        <v>0.93</v>
      </c>
      <c r="AE97" s="3">
        <v>372</v>
      </c>
    </row>
    <row r="98" spans="1:31">
      <c r="A98">
        <v>104</v>
      </c>
      <c r="B98">
        <v>475</v>
      </c>
      <c r="M98" s="12">
        <v>0.245</v>
      </c>
      <c r="O98" s="15">
        <v>0.94</v>
      </c>
      <c r="P98" s="12">
        <v>0.23499999999999999</v>
      </c>
      <c r="Q98" s="12">
        <v>0.23499999999999999</v>
      </c>
      <c r="R98" s="15">
        <v>0.94</v>
      </c>
      <c r="AB98" s="3"/>
      <c r="AC98" s="3">
        <v>380</v>
      </c>
      <c r="AD98" s="15">
        <v>0.94</v>
      </c>
      <c r="AE98" s="3">
        <v>376</v>
      </c>
    </row>
    <row r="99" spans="1:31">
      <c r="A99">
        <v>105</v>
      </c>
      <c r="B99">
        <v>480</v>
      </c>
      <c r="M99" s="12">
        <v>0.2475</v>
      </c>
      <c r="O99" s="15">
        <v>0.95</v>
      </c>
      <c r="P99" s="12">
        <v>0.23749999999999999</v>
      </c>
      <c r="Q99" s="12">
        <v>0.23749999999999999</v>
      </c>
      <c r="R99" s="15">
        <v>0.95</v>
      </c>
      <c r="AB99" s="3"/>
      <c r="AC99" s="3">
        <v>384</v>
      </c>
      <c r="AD99" s="15">
        <v>0.95</v>
      </c>
      <c r="AE99" s="3">
        <v>380</v>
      </c>
    </row>
    <row r="100" spans="1:31">
      <c r="A100">
        <v>106</v>
      </c>
      <c r="B100">
        <v>485</v>
      </c>
      <c r="M100" s="12">
        <v>0.25</v>
      </c>
      <c r="O100" s="15">
        <v>0.96</v>
      </c>
      <c r="P100" s="12">
        <v>0.24</v>
      </c>
      <c r="Q100" s="12">
        <v>0.24</v>
      </c>
      <c r="R100" s="15">
        <v>0.96</v>
      </c>
      <c r="AB100" s="3"/>
      <c r="AC100" s="3">
        <v>388</v>
      </c>
      <c r="AD100" s="15">
        <v>0.96</v>
      </c>
      <c r="AE100" s="3">
        <v>384</v>
      </c>
    </row>
    <row r="101" spans="1:31">
      <c r="A101">
        <v>107</v>
      </c>
      <c r="B101">
        <v>490</v>
      </c>
      <c r="M101" s="12">
        <v>0.2525</v>
      </c>
      <c r="O101" s="15">
        <v>0.97</v>
      </c>
      <c r="P101" s="12">
        <v>0.24249999999999999</v>
      </c>
      <c r="Q101" s="12">
        <v>0.24249999999999999</v>
      </c>
      <c r="R101" s="15">
        <v>0.97</v>
      </c>
      <c r="AB101" s="3"/>
      <c r="AC101" s="3">
        <v>392</v>
      </c>
      <c r="AD101" s="15">
        <v>0.97</v>
      </c>
      <c r="AE101" s="3">
        <v>388</v>
      </c>
    </row>
    <row r="102" spans="1:31">
      <c r="A102">
        <v>108</v>
      </c>
      <c r="B102">
        <v>495</v>
      </c>
      <c r="M102" s="12">
        <v>0.255</v>
      </c>
      <c r="O102" s="15">
        <v>0.98</v>
      </c>
      <c r="P102" s="12">
        <v>0.245</v>
      </c>
      <c r="Q102" s="12">
        <v>0.245</v>
      </c>
      <c r="R102" s="15">
        <v>0.98</v>
      </c>
      <c r="AB102" s="3"/>
      <c r="AC102" s="3">
        <v>396</v>
      </c>
      <c r="AD102" s="15">
        <v>0.98</v>
      </c>
      <c r="AE102" s="3">
        <v>392</v>
      </c>
    </row>
    <row r="103" spans="1:31">
      <c r="A103">
        <v>109</v>
      </c>
      <c r="B103">
        <v>500</v>
      </c>
      <c r="M103" s="12">
        <v>0.25750000000000001</v>
      </c>
      <c r="O103" s="15">
        <v>0.99</v>
      </c>
      <c r="P103" s="12">
        <v>0.2475</v>
      </c>
      <c r="Q103" s="12">
        <v>0.2475</v>
      </c>
      <c r="R103" s="15">
        <v>0.99</v>
      </c>
      <c r="AB103" s="3"/>
      <c r="AC103" s="3">
        <v>400</v>
      </c>
      <c r="AD103" s="15">
        <v>0.99</v>
      </c>
      <c r="AE103" s="3">
        <v>396</v>
      </c>
    </row>
    <row r="104" spans="1:31">
      <c r="A104">
        <v>110</v>
      </c>
      <c r="B104">
        <v>505</v>
      </c>
      <c r="M104" s="12">
        <v>0.26</v>
      </c>
      <c r="O104" s="15">
        <v>1</v>
      </c>
      <c r="P104" s="12">
        <v>0.25</v>
      </c>
      <c r="Q104" s="12">
        <v>0.25</v>
      </c>
      <c r="R104" s="15">
        <v>1</v>
      </c>
      <c r="AB104" s="3"/>
      <c r="AC104" s="3">
        <v>404</v>
      </c>
      <c r="AE104" s="3">
        <v>400</v>
      </c>
    </row>
    <row r="105" spans="1:31">
      <c r="A105">
        <v>111</v>
      </c>
      <c r="B105">
        <v>510</v>
      </c>
      <c r="M105" s="12">
        <v>0.26250000000000001</v>
      </c>
      <c r="P105" s="12">
        <v>0.2525</v>
      </c>
      <c r="Q105" s="12">
        <v>0.2525</v>
      </c>
      <c r="R105" s="12"/>
      <c r="AB105" s="3"/>
      <c r="AC105" s="3">
        <v>408</v>
      </c>
      <c r="AE105" s="3">
        <v>404</v>
      </c>
    </row>
    <row r="106" spans="1:31">
      <c r="A106">
        <v>112</v>
      </c>
      <c r="B106">
        <v>515</v>
      </c>
      <c r="M106" s="12">
        <v>0.26500000000000001</v>
      </c>
      <c r="P106" s="12">
        <v>0.255</v>
      </c>
      <c r="Q106" s="12">
        <v>0.255</v>
      </c>
      <c r="R106" s="12"/>
      <c r="AB106" s="3"/>
      <c r="AC106" s="3">
        <v>412</v>
      </c>
      <c r="AE106" s="3">
        <v>408</v>
      </c>
    </row>
    <row r="107" spans="1:31">
      <c r="A107">
        <v>113</v>
      </c>
      <c r="B107">
        <v>520</v>
      </c>
      <c r="M107" s="12">
        <v>0.26750000000000002</v>
      </c>
      <c r="P107" s="12">
        <v>0.25750000000000001</v>
      </c>
      <c r="Q107" s="12">
        <v>0.25750000000000001</v>
      </c>
      <c r="R107" s="12"/>
      <c r="AB107" s="3"/>
      <c r="AC107" s="3">
        <v>416</v>
      </c>
      <c r="AE107" s="3">
        <v>412</v>
      </c>
    </row>
    <row r="108" spans="1:31">
      <c r="A108">
        <v>114</v>
      </c>
      <c r="B108">
        <v>525</v>
      </c>
      <c r="M108" s="12">
        <v>0.27</v>
      </c>
      <c r="P108" s="12">
        <v>0.26</v>
      </c>
      <c r="Q108" s="12">
        <v>0.26</v>
      </c>
      <c r="R108" s="12"/>
      <c r="AB108" s="3"/>
      <c r="AC108" s="3">
        <v>420</v>
      </c>
      <c r="AE108" s="3">
        <v>416</v>
      </c>
    </row>
    <row r="109" spans="1:31">
      <c r="A109">
        <v>115</v>
      </c>
      <c r="B109">
        <v>530</v>
      </c>
      <c r="M109" s="12">
        <v>0.27250000000000002</v>
      </c>
      <c r="P109" s="12">
        <v>0.26250000000000001</v>
      </c>
      <c r="Q109" s="12">
        <v>0.26250000000000001</v>
      </c>
      <c r="R109" s="12"/>
      <c r="AB109" s="3"/>
      <c r="AC109" s="3">
        <v>424</v>
      </c>
      <c r="AE109" s="3">
        <v>420</v>
      </c>
    </row>
    <row r="110" spans="1:31">
      <c r="A110">
        <v>116</v>
      </c>
      <c r="B110">
        <v>535</v>
      </c>
      <c r="M110" s="12">
        <v>0.27500000000000002</v>
      </c>
      <c r="P110" s="12">
        <v>0.26500000000000001</v>
      </c>
      <c r="Q110" s="12">
        <v>0.26500000000000001</v>
      </c>
      <c r="R110" s="12"/>
      <c r="AB110" s="3"/>
      <c r="AC110" s="3">
        <v>428</v>
      </c>
      <c r="AE110" s="3">
        <v>424</v>
      </c>
    </row>
    <row r="111" spans="1:31">
      <c r="A111">
        <v>117</v>
      </c>
      <c r="B111">
        <v>540</v>
      </c>
      <c r="M111" s="12">
        <v>0.27750000000000002</v>
      </c>
      <c r="P111" s="12">
        <v>0.26750000000000002</v>
      </c>
      <c r="Q111" s="12">
        <v>0.26750000000000002</v>
      </c>
      <c r="R111" s="12"/>
      <c r="AB111" s="3"/>
      <c r="AC111" s="3">
        <v>432</v>
      </c>
      <c r="AE111" s="3">
        <v>428</v>
      </c>
    </row>
    <row r="112" spans="1:31">
      <c r="A112">
        <v>118</v>
      </c>
      <c r="B112">
        <v>545</v>
      </c>
      <c r="M112" s="12">
        <v>0.28000000000000003</v>
      </c>
      <c r="P112" s="12">
        <v>0.27</v>
      </c>
      <c r="Q112" s="12">
        <v>0.27</v>
      </c>
      <c r="R112" s="12"/>
      <c r="AB112" s="3"/>
      <c r="AC112" s="3">
        <v>436</v>
      </c>
      <c r="AE112" s="3">
        <v>432</v>
      </c>
    </row>
    <row r="113" spans="1:31">
      <c r="A113">
        <v>119</v>
      </c>
      <c r="B113">
        <v>550</v>
      </c>
      <c r="M113" s="12">
        <v>0.28249999999999997</v>
      </c>
      <c r="P113" s="12">
        <v>0.27250000000000002</v>
      </c>
      <c r="Q113" s="12">
        <v>0.27250000000000002</v>
      </c>
      <c r="R113" s="12"/>
      <c r="AB113" s="3"/>
      <c r="AC113" s="3">
        <v>440</v>
      </c>
      <c r="AE113" s="3">
        <v>436</v>
      </c>
    </row>
    <row r="114" spans="1:31">
      <c r="A114">
        <v>120</v>
      </c>
      <c r="B114">
        <v>555</v>
      </c>
      <c r="M114" s="12">
        <v>0.28499999999999998</v>
      </c>
      <c r="P114" s="12">
        <v>0.27500000000000002</v>
      </c>
      <c r="Q114" s="12">
        <v>0.27500000000000002</v>
      </c>
      <c r="R114" s="12"/>
      <c r="AB114" s="3"/>
      <c r="AC114" s="3">
        <v>444</v>
      </c>
      <c r="AE114" s="3">
        <v>440</v>
      </c>
    </row>
    <row r="115" spans="1:31">
      <c r="A115">
        <v>121</v>
      </c>
      <c r="B115">
        <v>560</v>
      </c>
      <c r="M115" s="12">
        <v>0.28749999999999998</v>
      </c>
      <c r="P115" s="12">
        <v>0.27750000000000002</v>
      </c>
      <c r="Q115" s="12">
        <v>0.27750000000000002</v>
      </c>
      <c r="R115" s="12"/>
      <c r="AB115" s="3"/>
      <c r="AC115" s="3">
        <v>448</v>
      </c>
      <c r="AE115" s="3">
        <v>444</v>
      </c>
    </row>
    <row r="116" spans="1:31">
      <c r="A116">
        <v>122</v>
      </c>
      <c r="B116">
        <v>565</v>
      </c>
      <c r="M116" s="12">
        <v>0.28999999999999998</v>
      </c>
      <c r="P116" s="12">
        <v>0.28000000000000003</v>
      </c>
      <c r="Q116" s="12">
        <v>0.28000000000000003</v>
      </c>
      <c r="R116" s="12"/>
      <c r="AB116" s="3"/>
      <c r="AC116" s="3">
        <v>452</v>
      </c>
      <c r="AE116" s="3">
        <v>448</v>
      </c>
    </row>
    <row r="117" spans="1:31">
      <c r="A117">
        <v>123</v>
      </c>
      <c r="B117">
        <v>570</v>
      </c>
      <c r="M117" s="12">
        <v>0.29249999999999998</v>
      </c>
      <c r="P117" s="12">
        <v>0.28249999999999997</v>
      </c>
      <c r="Q117" s="12">
        <v>0.28249999999999997</v>
      </c>
      <c r="R117" s="12"/>
      <c r="AB117" s="3"/>
      <c r="AC117" s="3">
        <v>456</v>
      </c>
      <c r="AE117" s="3">
        <v>452</v>
      </c>
    </row>
    <row r="118" spans="1:31">
      <c r="A118">
        <v>124</v>
      </c>
      <c r="B118">
        <v>575</v>
      </c>
      <c r="M118" s="12">
        <v>0.29499999999999998</v>
      </c>
      <c r="P118" s="12">
        <v>0.28499999999999998</v>
      </c>
      <c r="Q118" s="12">
        <v>0.28499999999999998</v>
      </c>
      <c r="R118" s="12"/>
      <c r="AB118" s="3"/>
      <c r="AC118" s="3">
        <v>460</v>
      </c>
      <c r="AE118" s="3">
        <v>456</v>
      </c>
    </row>
    <row r="119" spans="1:31">
      <c r="A119">
        <v>125</v>
      </c>
      <c r="B119">
        <v>580</v>
      </c>
      <c r="M119" s="12">
        <v>0.29749999999999999</v>
      </c>
      <c r="P119" s="12">
        <v>0.28749999999999998</v>
      </c>
      <c r="Q119" s="12">
        <v>0.28749999999999998</v>
      </c>
      <c r="R119" s="12"/>
      <c r="AB119" s="3"/>
      <c r="AC119" s="3">
        <v>464</v>
      </c>
      <c r="AE119" s="3">
        <v>460</v>
      </c>
    </row>
    <row r="120" spans="1:31">
      <c r="A120">
        <v>126</v>
      </c>
      <c r="B120">
        <v>585</v>
      </c>
      <c r="M120" s="12">
        <v>0.3</v>
      </c>
      <c r="P120" s="12">
        <v>0.28999999999999998</v>
      </c>
      <c r="Q120" s="12">
        <v>0.28999999999999998</v>
      </c>
      <c r="R120" s="12"/>
      <c r="AB120" s="3"/>
      <c r="AC120" s="3">
        <v>468</v>
      </c>
      <c r="AE120" s="3">
        <v>464</v>
      </c>
    </row>
    <row r="121" spans="1:31">
      <c r="A121">
        <v>127</v>
      </c>
      <c r="B121">
        <v>590</v>
      </c>
      <c r="M121" s="12">
        <v>0.30249999999999999</v>
      </c>
      <c r="P121" s="12">
        <v>0.29249999999999998</v>
      </c>
      <c r="Q121" s="12">
        <v>0.29249999999999998</v>
      </c>
      <c r="R121" s="12"/>
      <c r="AB121" s="3"/>
      <c r="AC121" s="3">
        <v>472</v>
      </c>
      <c r="AE121" s="3">
        <v>468</v>
      </c>
    </row>
    <row r="122" spans="1:31">
      <c r="A122">
        <v>128</v>
      </c>
      <c r="B122">
        <v>595</v>
      </c>
      <c r="M122" s="12">
        <v>0.30499999999999999</v>
      </c>
      <c r="P122" s="12">
        <v>0.29499999999999998</v>
      </c>
      <c r="Q122" s="12">
        <v>0.29499999999999998</v>
      </c>
      <c r="R122" s="12"/>
      <c r="AB122" s="3"/>
      <c r="AC122" s="3">
        <v>476</v>
      </c>
      <c r="AE122" s="3">
        <v>472</v>
      </c>
    </row>
    <row r="123" spans="1:31">
      <c r="A123">
        <v>129</v>
      </c>
      <c r="B123">
        <v>600</v>
      </c>
      <c r="M123" s="12">
        <v>0.3075</v>
      </c>
      <c r="P123" s="12">
        <v>0.29749999999999999</v>
      </c>
      <c r="Q123" s="12">
        <v>0.29749999999999999</v>
      </c>
      <c r="R123" s="12"/>
      <c r="AB123" s="3"/>
      <c r="AC123" s="3">
        <v>480</v>
      </c>
      <c r="AE123" s="3">
        <v>476</v>
      </c>
    </row>
    <row r="124" spans="1:31">
      <c r="A124">
        <v>130</v>
      </c>
      <c r="B124">
        <v>605</v>
      </c>
      <c r="M124" s="12">
        <v>0.31</v>
      </c>
      <c r="P124" s="12">
        <v>0.3</v>
      </c>
      <c r="Q124" s="12">
        <v>0.3</v>
      </c>
      <c r="R124" s="12"/>
      <c r="AB124" s="3"/>
      <c r="AC124" s="3">
        <v>484</v>
      </c>
      <c r="AE124" s="3">
        <v>480</v>
      </c>
    </row>
    <row r="125" spans="1:31">
      <c r="A125">
        <v>131</v>
      </c>
      <c r="B125">
        <v>610</v>
      </c>
      <c r="M125" s="12">
        <v>0.3125</v>
      </c>
      <c r="P125" s="12">
        <v>0.30249999999999999</v>
      </c>
      <c r="Q125" s="12">
        <v>0.30249999999999999</v>
      </c>
      <c r="R125" s="12"/>
      <c r="AB125" s="3"/>
      <c r="AC125" s="3">
        <v>488</v>
      </c>
      <c r="AE125" s="3">
        <v>484</v>
      </c>
    </row>
    <row r="126" spans="1:31">
      <c r="A126">
        <v>132</v>
      </c>
      <c r="B126">
        <v>615</v>
      </c>
      <c r="M126" s="12">
        <v>0.315</v>
      </c>
      <c r="P126" s="12">
        <v>0.30499999999999999</v>
      </c>
      <c r="Q126" s="12">
        <v>0.30499999999999999</v>
      </c>
      <c r="R126" s="12"/>
      <c r="AB126" s="3"/>
      <c r="AC126" s="3">
        <v>492</v>
      </c>
      <c r="AE126" s="3">
        <v>488</v>
      </c>
    </row>
    <row r="127" spans="1:31">
      <c r="A127">
        <v>133</v>
      </c>
      <c r="B127">
        <v>620</v>
      </c>
      <c r="M127" s="12">
        <v>0.3175</v>
      </c>
      <c r="P127" s="12">
        <v>0.3075</v>
      </c>
      <c r="Q127" s="12">
        <v>0.3075</v>
      </c>
      <c r="R127" s="12"/>
      <c r="AB127" s="3"/>
      <c r="AC127" s="3">
        <v>496</v>
      </c>
      <c r="AE127" s="3">
        <v>492</v>
      </c>
    </row>
    <row r="128" spans="1:31">
      <c r="A128">
        <v>134</v>
      </c>
      <c r="B128">
        <v>625</v>
      </c>
      <c r="M128" s="12">
        <v>0.32</v>
      </c>
      <c r="P128" s="12">
        <v>0.31</v>
      </c>
      <c r="Q128" s="12">
        <v>0.31</v>
      </c>
      <c r="R128" s="12"/>
      <c r="AB128" s="3"/>
      <c r="AC128" s="3">
        <v>500</v>
      </c>
      <c r="AE128" s="3">
        <v>496</v>
      </c>
    </row>
    <row r="129" spans="1:31">
      <c r="A129">
        <v>135</v>
      </c>
      <c r="B129">
        <v>630</v>
      </c>
      <c r="M129" s="12">
        <v>0.32250000000000001</v>
      </c>
      <c r="P129" s="12">
        <v>0.3125</v>
      </c>
      <c r="Q129" s="12">
        <v>0.3125</v>
      </c>
      <c r="R129" s="12"/>
      <c r="AB129" s="3"/>
      <c r="AC129" s="3">
        <v>504</v>
      </c>
      <c r="AE129" s="3">
        <v>500</v>
      </c>
    </row>
    <row r="130" spans="1:31">
      <c r="A130">
        <v>136</v>
      </c>
      <c r="B130">
        <v>635</v>
      </c>
      <c r="M130" s="12">
        <v>0.32500000000000001</v>
      </c>
      <c r="P130" s="12">
        <v>0.315</v>
      </c>
      <c r="Q130" s="12">
        <v>0.315</v>
      </c>
      <c r="R130" s="12"/>
      <c r="AB130" s="3"/>
      <c r="AC130" s="3">
        <v>508</v>
      </c>
      <c r="AE130" s="3">
        <v>504</v>
      </c>
    </row>
    <row r="131" spans="1:31">
      <c r="A131">
        <v>137</v>
      </c>
      <c r="B131">
        <v>640</v>
      </c>
      <c r="M131" s="12">
        <v>0.32750000000000001</v>
      </c>
      <c r="P131" s="12">
        <v>0.3175</v>
      </c>
      <c r="Q131" s="12">
        <v>0.3175</v>
      </c>
      <c r="R131" s="12"/>
      <c r="AB131" s="3"/>
      <c r="AC131" s="3">
        <v>512</v>
      </c>
      <c r="AE131" s="3">
        <v>508</v>
      </c>
    </row>
    <row r="132" spans="1:31">
      <c r="A132">
        <v>138</v>
      </c>
      <c r="B132">
        <v>645</v>
      </c>
      <c r="M132" s="12">
        <v>0.33</v>
      </c>
      <c r="P132" s="12">
        <v>0.32</v>
      </c>
      <c r="Q132" s="12">
        <v>0.32</v>
      </c>
      <c r="R132" s="12"/>
      <c r="AB132" s="3"/>
      <c r="AC132" s="3">
        <v>516</v>
      </c>
      <c r="AE132" s="3">
        <v>512</v>
      </c>
    </row>
    <row r="133" spans="1:31">
      <c r="A133">
        <v>139</v>
      </c>
      <c r="B133">
        <v>650</v>
      </c>
      <c r="M133" s="12">
        <v>0.33250000000000002</v>
      </c>
      <c r="P133" s="12">
        <v>0.32250000000000001</v>
      </c>
      <c r="Q133" s="12">
        <v>0.32250000000000001</v>
      </c>
      <c r="R133" s="12"/>
      <c r="AB133" s="3"/>
      <c r="AC133" s="3">
        <v>520</v>
      </c>
      <c r="AE133" s="3">
        <v>516</v>
      </c>
    </row>
    <row r="134" spans="1:31">
      <c r="A134">
        <v>140</v>
      </c>
      <c r="B134">
        <v>655</v>
      </c>
      <c r="M134" s="12">
        <v>0.33500000000000002</v>
      </c>
      <c r="P134" s="12">
        <v>0.32500000000000001</v>
      </c>
      <c r="Q134" s="12">
        <v>0.32500000000000001</v>
      </c>
      <c r="R134" s="12"/>
      <c r="AB134" s="3"/>
      <c r="AC134" s="3">
        <v>524</v>
      </c>
      <c r="AE134" s="3">
        <v>520</v>
      </c>
    </row>
    <row r="135" spans="1:31">
      <c r="A135">
        <v>141</v>
      </c>
      <c r="B135">
        <v>660</v>
      </c>
      <c r="M135" s="12">
        <v>0.33750000000000002</v>
      </c>
      <c r="P135" s="12">
        <v>0.32750000000000001</v>
      </c>
      <c r="Q135" s="12">
        <v>0.32750000000000001</v>
      </c>
      <c r="R135" s="12"/>
      <c r="AB135" s="3"/>
      <c r="AC135" s="3">
        <v>528</v>
      </c>
      <c r="AE135" s="3">
        <v>524</v>
      </c>
    </row>
    <row r="136" spans="1:31">
      <c r="A136">
        <v>142</v>
      </c>
      <c r="B136">
        <v>665</v>
      </c>
      <c r="M136" s="12">
        <v>0.34</v>
      </c>
      <c r="P136" s="12">
        <v>0.33</v>
      </c>
      <c r="Q136" s="12">
        <v>0.33</v>
      </c>
      <c r="R136" s="12"/>
      <c r="AB136" s="3"/>
      <c r="AC136" s="3">
        <v>532</v>
      </c>
      <c r="AE136" s="3">
        <v>528</v>
      </c>
    </row>
    <row r="137" spans="1:31">
      <c r="A137">
        <v>143</v>
      </c>
      <c r="B137">
        <v>670</v>
      </c>
      <c r="M137" s="12">
        <v>0.34250000000000003</v>
      </c>
      <c r="P137" s="12">
        <v>0.33250000000000002</v>
      </c>
      <c r="Q137" s="12">
        <v>0.33250000000000002</v>
      </c>
      <c r="R137" s="12"/>
      <c r="AB137" s="3"/>
      <c r="AC137" s="3">
        <v>536</v>
      </c>
      <c r="AE137" s="3">
        <v>532</v>
      </c>
    </row>
    <row r="138" spans="1:31">
      <c r="A138">
        <v>144</v>
      </c>
      <c r="B138">
        <v>675</v>
      </c>
      <c r="M138" s="12">
        <v>0.34499999999999997</v>
      </c>
      <c r="P138" s="12">
        <v>0.33500000000000002</v>
      </c>
      <c r="Q138" s="12">
        <v>0.33500000000000002</v>
      </c>
      <c r="R138" s="12"/>
      <c r="AB138" s="3"/>
      <c r="AC138" s="3">
        <v>540</v>
      </c>
      <c r="AE138" s="3">
        <v>536</v>
      </c>
    </row>
    <row r="139" spans="1:31">
      <c r="A139">
        <v>145</v>
      </c>
      <c r="B139">
        <v>680</v>
      </c>
      <c r="M139" s="12">
        <v>0.34749999999999998</v>
      </c>
      <c r="P139" s="12">
        <v>0.33750000000000002</v>
      </c>
      <c r="Q139" s="12">
        <v>0.33750000000000002</v>
      </c>
      <c r="R139" s="12"/>
      <c r="AB139" s="3"/>
      <c r="AC139" s="3">
        <v>544</v>
      </c>
      <c r="AE139" s="3">
        <v>540</v>
      </c>
    </row>
    <row r="140" spans="1:31">
      <c r="A140">
        <v>146</v>
      </c>
      <c r="B140">
        <v>685</v>
      </c>
      <c r="M140" s="12">
        <v>0.35</v>
      </c>
      <c r="P140" s="12">
        <v>0.34</v>
      </c>
      <c r="Q140" s="12">
        <v>0.34</v>
      </c>
      <c r="R140" s="12"/>
      <c r="AB140" s="3"/>
      <c r="AC140" s="3">
        <v>548</v>
      </c>
      <c r="AE140" s="3">
        <v>544</v>
      </c>
    </row>
    <row r="141" spans="1:31">
      <c r="A141">
        <v>147</v>
      </c>
      <c r="B141">
        <v>690</v>
      </c>
      <c r="M141" s="12">
        <v>0.35249999999999998</v>
      </c>
      <c r="P141" s="12">
        <v>0.34250000000000003</v>
      </c>
      <c r="Q141" s="12">
        <v>0.34250000000000003</v>
      </c>
      <c r="R141" s="12"/>
      <c r="AB141" s="3"/>
      <c r="AC141" s="3">
        <v>552</v>
      </c>
      <c r="AE141" s="3">
        <v>548</v>
      </c>
    </row>
    <row r="142" spans="1:31">
      <c r="A142">
        <v>148</v>
      </c>
      <c r="B142">
        <v>695</v>
      </c>
      <c r="M142" s="12">
        <v>0.35499999999999998</v>
      </c>
      <c r="P142" s="12">
        <v>0.34499999999999997</v>
      </c>
      <c r="Q142" s="12">
        <v>0.34499999999999997</v>
      </c>
      <c r="R142" s="12"/>
      <c r="AB142" s="3"/>
      <c r="AC142" s="3">
        <v>556</v>
      </c>
      <c r="AE142" s="3">
        <v>552</v>
      </c>
    </row>
    <row r="143" spans="1:31">
      <c r="A143">
        <v>149</v>
      </c>
      <c r="B143">
        <v>700</v>
      </c>
      <c r="M143" s="12">
        <v>0.35749999999999998</v>
      </c>
      <c r="P143" s="12">
        <v>0.34749999999999998</v>
      </c>
      <c r="Q143" s="12">
        <v>0.34749999999999998</v>
      </c>
      <c r="R143" s="12"/>
      <c r="AB143" s="3"/>
      <c r="AC143" s="3">
        <v>560</v>
      </c>
      <c r="AE143" s="3">
        <v>556</v>
      </c>
    </row>
    <row r="144" spans="1:31">
      <c r="A144">
        <v>150</v>
      </c>
      <c r="B144">
        <v>705</v>
      </c>
      <c r="M144" s="12">
        <v>0.36</v>
      </c>
      <c r="P144" s="12">
        <v>0.35</v>
      </c>
      <c r="Q144" s="12">
        <v>0.35</v>
      </c>
      <c r="R144" s="12"/>
      <c r="AB144" s="3"/>
      <c r="AC144" s="3">
        <v>564</v>
      </c>
      <c r="AE144" s="3">
        <v>560</v>
      </c>
    </row>
    <row r="145" spans="1:31">
      <c r="A145">
        <v>151</v>
      </c>
      <c r="B145">
        <v>710</v>
      </c>
      <c r="M145" s="12">
        <v>0.36249999999999999</v>
      </c>
      <c r="P145" s="12">
        <v>0.35249999999999998</v>
      </c>
      <c r="Q145" s="12">
        <v>0.35249999999999998</v>
      </c>
      <c r="R145" s="12"/>
      <c r="AB145" s="3"/>
      <c r="AC145" s="3">
        <v>568</v>
      </c>
      <c r="AE145" s="3">
        <v>564</v>
      </c>
    </row>
    <row r="146" spans="1:31">
      <c r="A146">
        <v>152</v>
      </c>
      <c r="B146">
        <v>715</v>
      </c>
      <c r="M146" s="12">
        <v>0.36499999999999999</v>
      </c>
      <c r="P146" s="12">
        <v>0.35499999999999998</v>
      </c>
      <c r="Q146" s="12">
        <v>0.35499999999999998</v>
      </c>
      <c r="R146" s="12"/>
      <c r="AB146" s="3"/>
      <c r="AC146" s="3">
        <v>572</v>
      </c>
      <c r="AE146" s="3">
        <v>568</v>
      </c>
    </row>
    <row r="147" spans="1:31">
      <c r="A147">
        <v>153</v>
      </c>
      <c r="B147">
        <v>720</v>
      </c>
      <c r="M147" s="12">
        <v>0.36749999999999999</v>
      </c>
      <c r="P147" s="12">
        <v>0.35749999999999998</v>
      </c>
      <c r="Q147" s="12">
        <v>0.35749999999999998</v>
      </c>
      <c r="R147" s="12"/>
      <c r="AB147" s="3"/>
      <c r="AC147" s="3">
        <v>576</v>
      </c>
      <c r="AE147" s="3">
        <v>572</v>
      </c>
    </row>
    <row r="148" spans="1:31">
      <c r="A148">
        <v>154</v>
      </c>
      <c r="B148">
        <v>725</v>
      </c>
      <c r="M148" s="12">
        <v>0.37</v>
      </c>
      <c r="P148" s="12">
        <v>0.36</v>
      </c>
      <c r="Q148" s="12">
        <v>0.36</v>
      </c>
      <c r="R148" s="12"/>
      <c r="AB148" s="3"/>
      <c r="AC148" s="3">
        <v>580</v>
      </c>
      <c r="AE148" s="3">
        <v>576</v>
      </c>
    </row>
    <row r="149" spans="1:31">
      <c r="A149">
        <v>155</v>
      </c>
      <c r="B149">
        <v>730</v>
      </c>
      <c r="M149" s="12">
        <v>0.3725</v>
      </c>
      <c r="P149" s="12">
        <v>0.36249999999999999</v>
      </c>
      <c r="Q149" s="12">
        <v>0.36249999999999999</v>
      </c>
      <c r="R149" s="12"/>
      <c r="AB149" s="3"/>
      <c r="AC149" s="3">
        <v>584</v>
      </c>
      <c r="AE149" s="3">
        <v>580</v>
      </c>
    </row>
    <row r="150" spans="1:31">
      <c r="A150">
        <v>156</v>
      </c>
      <c r="B150">
        <v>735</v>
      </c>
      <c r="M150" s="12">
        <v>0.375</v>
      </c>
      <c r="P150" s="12">
        <v>0.36499999999999999</v>
      </c>
      <c r="Q150" s="12">
        <v>0.36499999999999999</v>
      </c>
      <c r="R150" s="12"/>
      <c r="AB150" s="3"/>
      <c r="AC150" s="3">
        <v>588</v>
      </c>
      <c r="AE150" s="3">
        <v>584</v>
      </c>
    </row>
    <row r="151" spans="1:31">
      <c r="A151">
        <v>157</v>
      </c>
      <c r="B151">
        <v>740</v>
      </c>
      <c r="M151" s="12">
        <v>0.3775</v>
      </c>
      <c r="P151" s="12">
        <v>0.36749999999999999</v>
      </c>
      <c r="Q151" s="12">
        <v>0.36749999999999999</v>
      </c>
      <c r="R151" s="12"/>
      <c r="AB151" s="3"/>
      <c r="AC151" s="3">
        <v>592</v>
      </c>
      <c r="AE151" s="3">
        <v>588</v>
      </c>
    </row>
    <row r="152" spans="1:31">
      <c r="A152">
        <v>158</v>
      </c>
      <c r="B152">
        <v>745</v>
      </c>
      <c r="M152" s="12">
        <v>0.38</v>
      </c>
      <c r="P152" s="12">
        <v>0.37</v>
      </c>
      <c r="Q152" s="12">
        <v>0.37</v>
      </c>
      <c r="R152" s="12"/>
      <c r="AB152" s="3"/>
      <c r="AC152" s="3">
        <v>596</v>
      </c>
      <c r="AE152" s="3">
        <v>592</v>
      </c>
    </row>
    <row r="153" spans="1:31">
      <c r="A153">
        <v>159</v>
      </c>
      <c r="B153">
        <v>750</v>
      </c>
      <c r="M153" s="12">
        <v>0.38250000000000001</v>
      </c>
      <c r="P153" s="12">
        <v>0.3725</v>
      </c>
      <c r="Q153" s="12">
        <v>0.3725</v>
      </c>
      <c r="R153" s="12"/>
      <c r="AB153" s="3"/>
      <c r="AC153" s="3">
        <v>600</v>
      </c>
      <c r="AE153" s="3">
        <v>596</v>
      </c>
    </row>
    <row r="154" spans="1:31">
      <c r="A154">
        <v>160</v>
      </c>
      <c r="B154">
        <v>755</v>
      </c>
      <c r="M154" s="12">
        <v>0.38500000000000001</v>
      </c>
      <c r="P154" s="12">
        <v>0.375</v>
      </c>
      <c r="Q154" s="12">
        <v>0.375</v>
      </c>
      <c r="R154" s="12"/>
      <c r="AB154" s="3"/>
      <c r="AC154" s="3">
        <v>604</v>
      </c>
      <c r="AE154" s="3">
        <v>600</v>
      </c>
    </row>
    <row r="155" spans="1:31">
      <c r="A155">
        <v>161</v>
      </c>
      <c r="B155">
        <v>760</v>
      </c>
      <c r="M155" s="12">
        <v>0.38750000000000001</v>
      </c>
      <c r="P155" s="12">
        <v>0.3775</v>
      </c>
      <c r="Q155" s="12">
        <v>0.3775</v>
      </c>
      <c r="R155" s="12"/>
      <c r="AB155" s="3"/>
      <c r="AC155" s="3">
        <v>608</v>
      </c>
      <c r="AE155" s="3">
        <v>604</v>
      </c>
    </row>
    <row r="156" spans="1:31">
      <c r="A156">
        <v>162</v>
      </c>
      <c r="B156">
        <v>765</v>
      </c>
      <c r="M156" s="12">
        <v>0.39</v>
      </c>
      <c r="P156" s="12">
        <v>0.38</v>
      </c>
      <c r="Q156" s="12">
        <v>0.38</v>
      </c>
      <c r="R156" s="12"/>
      <c r="AB156" s="3"/>
      <c r="AC156" s="3">
        <v>612</v>
      </c>
      <c r="AE156" s="3">
        <v>608</v>
      </c>
    </row>
    <row r="157" spans="1:31">
      <c r="A157">
        <v>163</v>
      </c>
      <c r="B157">
        <v>770</v>
      </c>
      <c r="M157" s="12">
        <v>0.39250000000000002</v>
      </c>
      <c r="P157" s="12">
        <v>0.38250000000000001</v>
      </c>
      <c r="Q157" s="12">
        <v>0.38250000000000001</v>
      </c>
      <c r="R157" s="12"/>
      <c r="AB157" s="3"/>
      <c r="AC157" s="3">
        <v>616</v>
      </c>
      <c r="AE157" s="3">
        <v>612</v>
      </c>
    </row>
    <row r="158" spans="1:31">
      <c r="A158">
        <v>164</v>
      </c>
      <c r="B158">
        <v>775</v>
      </c>
      <c r="M158" s="12">
        <v>0.39500000000000002</v>
      </c>
      <c r="P158" s="12">
        <v>0.38500000000000001</v>
      </c>
      <c r="Q158" s="12">
        <v>0.38500000000000001</v>
      </c>
      <c r="R158" s="12"/>
      <c r="AB158" s="3"/>
      <c r="AC158" s="3">
        <v>620</v>
      </c>
      <c r="AE158" s="3">
        <v>616</v>
      </c>
    </row>
    <row r="159" spans="1:31">
      <c r="A159">
        <v>165</v>
      </c>
      <c r="B159">
        <v>780</v>
      </c>
      <c r="M159" s="12">
        <v>0.39750000000000002</v>
      </c>
      <c r="P159" s="12">
        <v>0.38750000000000001</v>
      </c>
      <c r="Q159" s="12">
        <v>0.38750000000000001</v>
      </c>
      <c r="R159" s="12"/>
      <c r="AB159" s="3"/>
      <c r="AC159" s="3">
        <v>624</v>
      </c>
      <c r="AE159" s="3">
        <v>620</v>
      </c>
    </row>
    <row r="160" spans="1:31">
      <c r="A160">
        <v>166</v>
      </c>
      <c r="B160">
        <v>785</v>
      </c>
      <c r="M160" s="12">
        <v>0.4</v>
      </c>
      <c r="P160" s="12">
        <v>0.39</v>
      </c>
      <c r="Q160" s="12">
        <v>0.39</v>
      </c>
      <c r="R160" s="12"/>
      <c r="AB160" s="3"/>
      <c r="AC160" s="3">
        <v>628</v>
      </c>
      <c r="AE160" s="3">
        <v>624</v>
      </c>
    </row>
    <row r="161" spans="1:31">
      <c r="A161">
        <v>167</v>
      </c>
      <c r="B161">
        <v>790</v>
      </c>
      <c r="M161" s="12">
        <v>0.40250000000000002</v>
      </c>
      <c r="P161" s="12">
        <v>0.39250000000000002</v>
      </c>
      <c r="Q161" s="12">
        <v>0.39250000000000002</v>
      </c>
      <c r="R161" s="12"/>
      <c r="AB161" s="3"/>
      <c r="AC161" s="3">
        <v>632</v>
      </c>
      <c r="AE161" s="3">
        <v>628</v>
      </c>
    </row>
    <row r="162" spans="1:31">
      <c r="A162">
        <v>168</v>
      </c>
      <c r="B162">
        <v>795</v>
      </c>
      <c r="M162" s="12">
        <v>0.40500000000000003</v>
      </c>
      <c r="P162" s="12">
        <v>0.39500000000000002</v>
      </c>
      <c r="Q162" s="12">
        <v>0.39500000000000002</v>
      </c>
      <c r="R162" s="12"/>
      <c r="AB162" s="3"/>
      <c r="AC162" s="3">
        <v>636</v>
      </c>
      <c r="AE162" s="3">
        <v>632</v>
      </c>
    </row>
    <row r="163" spans="1:31">
      <c r="A163">
        <v>169</v>
      </c>
      <c r="B163">
        <v>800</v>
      </c>
      <c r="M163" s="12">
        <v>0.40749999999999997</v>
      </c>
      <c r="P163" s="12">
        <v>0.39750000000000002</v>
      </c>
      <c r="Q163" s="12">
        <v>0.39750000000000002</v>
      </c>
      <c r="R163" s="12"/>
      <c r="AB163" s="3"/>
      <c r="AC163" s="3">
        <v>640</v>
      </c>
      <c r="AE163" s="3">
        <v>636</v>
      </c>
    </row>
    <row r="164" spans="1:31">
      <c r="A164">
        <v>170</v>
      </c>
      <c r="B164">
        <v>805</v>
      </c>
      <c r="M164" s="12">
        <v>0.41</v>
      </c>
      <c r="P164" s="12">
        <v>0.4</v>
      </c>
      <c r="Q164" s="12">
        <v>0.4</v>
      </c>
      <c r="R164" s="12"/>
      <c r="AB164" s="3"/>
      <c r="AC164" s="3">
        <v>644</v>
      </c>
      <c r="AE164" s="3">
        <v>640</v>
      </c>
    </row>
    <row r="165" spans="1:31">
      <c r="A165">
        <v>171</v>
      </c>
      <c r="B165">
        <v>810</v>
      </c>
      <c r="M165" s="12">
        <v>0.41249999999999998</v>
      </c>
      <c r="P165" s="12">
        <v>0.40250000000000002</v>
      </c>
      <c r="Q165" s="12">
        <v>0.40250000000000002</v>
      </c>
      <c r="R165" s="12"/>
      <c r="AC165" s="3">
        <v>648</v>
      </c>
      <c r="AE165" s="3">
        <v>644</v>
      </c>
    </row>
    <row r="166" spans="1:31">
      <c r="A166">
        <v>172</v>
      </c>
      <c r="B166">
        <v>815</v>
      </c>
      <c r="M166" s="12">
        <v>0.41499999999999998</v>
      </c>
      <c r="P166" s="12">
        <v>0.40500000000000003</v>
      </c>
      <c r="Q166" s="12">
        <v>0.40500000000000003</v>
      </c>
      <c r="R166" s="12"/>
      <c r="AC166" s="3">
        <v>652</v>
      </c>
      <c r="AE166" s="3">
        <v>648</v>
      </c>
    </row>
    <row r="167" spans="1:31">
      <c r="A167">
        <v>173</v>
      </c>
      <c r="B167">
        <v>820</v>
      </c>
      <c r="M167" s="12">
        <v>0.41749999999999998</v>
      </c>
      <c r="P167" s="12">
        <v>0.40749999999999997</v>
      </c>
      <c r="Q167" s="12">
        <v>0.40749999999999997</v>
      </c>
      <c r="R167" s="12"/>
      <c r="AC167" s="3">
        <v>656</v>
      </c>
      <c r="AE167" s="3">
        <v>652</v>
      </c>
    </row>
    <row r="168" spans="1:31">
      <c r="A168">
        <v>174</v>
      </c>
      <c r="B168">
        <v>825</v>
      </c>
      <c r="M168" s="12">
        <v>0.42</v>
      </c>
      <c r="P168" s="12">
        <v>0.41</v>
      </c>
      <c r="Q168" s="12">
        <v>0.41</v>
      </c>
      <c r="R168" s="12"/>
      <c r="AC168" s="3">
        <v>660</v>
      </c>
      <c r="AE168" s="3">
        <v>656</v>
      </c>
    </row>
    <row r="169" spans="1:31">
      <c r="A169">
        <v>175</v>
      </c>
      <c r="B169">
        <v>830</v>
      </c>
      <c r="M169" s="12">
        <v>0.42249999999999999</v>
      </c>
      <c r="P169" s="12">
        <v>0.41249999999999998</v>
      </c>
      <c r="Q169" s="12">
        <v>0.41249999999999998</v>
      </c>
      <c r="R169" s="12"/>
      <c r="AC169" s="3">
        <v>664</v>
      </c>
      <c r="AE169" s="3">
        <v>660</v>
      </c>
    </row>
    <row r="170" spans="1:31">
      <c r="A170">
        <v>176</v>
      </c>
      <c r="B170">
        <v>835</v>
      </c>
      <c r="M170" s="12">
        <v>0.42499999999999999</v>
      </c>
      <c r="P170" s="12">
        <v>0.41499999999999998</v>
      </c>
      <c r="Q170" s="12">
        <v>0.41499999999999998</v>
      </c>
      <c r="R170" s="12"/>
      <c r="AC170" s="3">
        <v>668</v>
      </c>
      <c r="AE170" s="3">
        <v>664</v>
      </c>
    </row>
    <row r="171" spans="1:31">
      <c r="A171">
        <v>177</v>
      </c>
      <c r="B171">
        <v>840</v>
      </c>
      <c r="M171" s="12">
        <v>0.42749999999999999</v>
      </c>
      <c r="P171" s="12">
        <v>0.41749999999999998</v>
      </c>
      <c r="Q171" s="12">
        <v>0.41749999999999998</v>
      </c>
      <c r="R171" s="12"/>
      <c r="AC171" s="3">
        <v>672</v>
      </c>
      <c r="AE171" s="3">
        <v>668</v>
      </c>
    </row>
    <row r="172" spans="1:31">
      <c r="A172">
        <v>178</v>
      </c>
      <c r="B172">
        <v>845</v>
      </c>
      <c r="M172" s="12">
        <v>0.43</v>
      </c>
      <c r="P172" s="12">
        <v>0.42</v>
      </c>
      <c r="Q172" s="12">
        <v>0.42</v>
      </c>
      <c r="R172" s="12"/>
      <c r="AC172" s="3">
        <v>676</v>
      </c>
      <c r="AE172" s="3">
        <v>672</v>
      </c>
    </row>
    <row r="173" spans="1:31">
      <c r="A173">
        <v>179</v>
      </c>
      <c r="B173">
        <v>850</v>
      </c>
      <c r="M173" s="12">
        <v>0.4325</v>
      </c>
      <c r="P173" s="12">
        <v>0.42249999999999999</v>
      </c>
      <c r="Q173" s="12">
        <v>0.42249999999999999</v>
      </c>
      <c r="R173" s="12"/>
      <c r="AC173" s="3">
        <v>680</v>
      </c>
      <c r="AE173" s="3">
        <v>676</v>
      </c>
    </row>
    <row r="174" spans="1:31">
      <c r="A174">
        <v>180</v>
      </c>
      <c r="B174">
        <v>855</v>
      </c>
      <c r="M174" s="12">
        <v>0.435</v>
      </c>
      <c r="P174" s="12">
        <v>0.42499999999999999</v>
      </c>
      <c r="Q174" s="12">
        <v>0.42499999999999999</v>
      </c>
      <c r="R174" s="12"/>
      <c r="AC174" s="3">
        <v>684</v>
      </c>
      <c r="AE174" s="3">
        <v>680</v>
      </c>
    </row>
    <row r="175" spans="1:31">
      <c r="A175">
        <v>181</v>
      </c>
      <c r="B175">
        <v>860</v>
      </c>
      <c r="M175" s="12">
        <v>0.4375</v>
      </c>
      <c r="P175" s="12">
        <v>0.42749999999999999</v>
      </c>
      <c r="Q175" s="12">
        <v>0.42749999999999999</v>
      </c>
      <c r="R175" s="12"/>
      <c r="AC175" s="3">
        <v>688</v>
      </c>
      <c r="AE175" s="3">
        <v>684</v>
      </c>
    </row>
    <row r="176" spans="1:31">
      <c r="A176">
        <v>182</v>
      </c>
      <c r="B176">
        <v>865</v>
      </c>
      <c r="M176" s="12">
        <v>0.44</v>
      </c>
      <c r="P176" s="12">
        <v>0.43</v>
      </c>
      <c r="Q176" s="12">
        <v>0.43</v>
      </c>
      <c r="R176" s="12"/>
      <c r="AC176" s="3">
        <v>692</v>
      </c>
      <c r="AE176" s="3">
        <v>688</v>
      </c>
    </row>
    <row r="177" spans="1:31">
      <c r="A177">
        <v>183</v>
      </c>
      <c r="B177">
        <v>870</v>
      </c>
      <c r="M177" s="12">
        <v>0.4425</v>
      </c>
      <c r="P177" s="12">
        <v>0.4325</v>
      </c>
      <c r="Q177" s="12">
        <v>0.4325</v>
      </c>
      <c r="R177" s="12"/>
      <c r="AC177" s="3">
        <v>696</v>
      </c>
      <c r="AE177" s="3">
        <v>692</v>
      </c>
    </row>
    <row r="178" spans="1:31">
      <c r="A178">
        <v>184</v>
      </c>
      <c r="B178">
        <v>875</v>
      </c>
      <c r="M178" s="12">
        <v>0.44500000000000001</v>
      </c>
      <c r="P178" s="12">
        <v>0.435</v>
      </c>
      <c r="Q178" s="12">
        <v>0.435</v>
      </c>
      <c r="R178" s="12"/>
      <c r="AC178" s="3">
        <v>700</v>
      </c>
      <c r="AE178" s="3">
        <v>696</v>
      </c>
    </row>
    <row r="179" spans="1:31">
      <c r="A179">
        <v>185</v>
      </c>
      <c r="B179">
        <v>880</v>
      </c>
      <c r="M179" s="12">
        <v>0.44750000000000001</v>
      </c>
      <c r="P179" s="12">
        <v>0.4375</v>
      </c>
      <c r="Q179" s="12">
        <v>0.4375</v>
      </c>
      <c r="R179" s="12"/>
      <c r="AC179" s="3">
        <v>704</v>
      </c>
      <c r="AE179" s="3">
        <v>700</v>
      </c>
    </row>
    <row r="180" spans="1:31">
      <c r="A180">
        <v>186</v>
      </c>
      <c r="B180">
        <v>885</v>
      </c>
      <c r="M180" s="12">
        <v>0.45</v>
      </c>
      <c r="P180" s="12">
        <v>0.44</v>
      </c>
      <c r="Q180" s="12">
        <v>0.44</v>
      </c>
      <c r="R180" s="12"/>
      <c r="AC180" s="3">
        <v>708</v>
      </c>
      <c r="AE180" s="3">
        <v>704</v>
      </c>
    </row>
    <row r="181" spans="1:31">
      <c r="A181">
        <v>187</v>
      </c>
      <c r="B181">
        <v>890</v>
      </c>
      <c r="M181" s="12">
        <v>0.45250000000000001</v>
      </c>
      <c r="P181" s="12">
        <v>0.4425</v>
      </c>
      <c r="Q181" s="12">
        <v>0.4425</v>
      </c>
      <c r="R181" s="12"/>
      <c r="AC181" s="3">
        <v>712</v>
      </c>
      <c r="AE181" s="3">
        <v>708</v>
      </c>
    </row>
    <row r="182" spans="1:31">
      <c r="A182">
        <v>188</v>
      </c>
      <c r="B182">
        <v>895</v>
      </c>
      <c r="M182" s="12">
        <v>0.45500000000000002</v>
      </c>
      <c r="P182" s="12">
        <v>0.44500000000000001</v>
      </c>
      <c r="Q182" s="12">
        <v>0.44500000000000001</v>
      </c>
      <c r="R182" s="12"/>
      <c r="AC182" s="3">
        <v>716</v>
      </c>
      <c r="AE182" s="3">
        <v>712</v>
      </c>
    </row>
    <row r="183" spans="1:31">
      <c r="A183">
        <v>189</v>
      </c>
      <c r="B183">
        <v>900</v>
      </c>
      <c r="M183" s="12">
        <v>0.45750000000000002</v>
      </c>
      <c r="P183" s="12">
        <v>0.44750000000000001</v>
      </c>
      <c r="Q183" s="12">
        <v>0.44750000000000001</v>
      </c>
      <c r="R183" s="12"/>
      <c r="AC183" s="3">
        <v>720</v>
      </c>
      <c r="AE183" s="3">
        <v>716</v>
      </c>
    </row>
    <row r="184" spans="1:31">
      <c r="A184">
        <v>190</v>
      </c>
      <c r="B184">
        <v>905</v>
      </c>
      <c r="M184" s="12">
        <v>0.46</v>
      </c>
      <c r="P184" s="12">
        <v>0.45</v>
      </c>
      <c r="Q184" s="12">
        <v>0.45</v>
      </c>
      <c r="R184" s="12"/>
      <c r="AC184" s="3"/>
      <c r="AE184" s="3">
        <v>720</v>
      </c>
    </row>
    <row r="185" spans="1:31">
      <c r="A185">
        <v>191</v>
      </c>
      <c r="B185">
        <v>910</v>
      </c>
      <c r="M185" s="12">
        <v>0.46250000000000002</v>
      </c>
      <c r="P185" s="12">
        <v>0.45250000000000001</v>
      </c>
      <c r="Q185" s="12">
        <v>0.45250000000000001</v>
      </c>
      <c r="R185" s="12"/>
      <c r="AC185" s="3"/>
      <c r="AE185" s="3"/>
    </row>
    <row r="186" spans="1:31">
      <c r="A186">
        <v>192</v>
      </c>
      <c r="B186">
        <v>915</v>
      </c>
      <c r="M186" s="12">
        <v>0.46500000000000002</v>
      </c>
      <c r="P186" s="12">
        <v>0.45500000000000002</v>
      </c>
      <c r="Q186" s="12">
        <v>0.45500000000000002</v>
      </c>
      <c r="R186" s="12"/>
      <c r="AC186" s="3"/>
      <c r="AE186" s="3"/>
    </row>
    <row r="187" spans="1:31">
      <c r="A187">
        <v>193</v>
      </c>
      <c r="B187">
        <v>920</v>
      </c>
      <c r="M187" s="12">
        <v>0.46750000000000003</v>
      </c>
      <c r="P187" s="12">
        <v>0.45750000000000002</v>
      </c>
      <c r="Q187" s="12">
        <v>0.45750000000000002</v>
      </c>
      <c r="R187" s="12"/>
      <c r="AC187" s="3"/>
      <c r="AE187" s="3"/>
    </row>
    <row r="188" spans="1:31">
      <c r="A188">
        <v>194</v>
      </c>
      <c r="B188">
        <v>925</v>
      </c>
      <c r="M188" s="12">
        <v>0.47</v>
      </c>
      <c r="P188" s="12">
        <v>0.46</v>
      </c>
      <c r="Q188" s="12">
        <v>0.46</v>
      </c>
      <c r="R188" s="12"/>
      <c r="AC188" s="3"/>
      <c r="AE188" s="3"/>
    </row>
    <row r="189" spans="1:31">
      <c r="A189">
        <v>195</v>
      </c>
      <c r="B189">
        <v>930</v>
      </c>
      <c r="M189" s="12">
        <v>0.47249999999999998</v>
      </c>
      <c r="P189" s="12">
        <v>0.46250000000000002</v>
      </c>
      <c r="Q189" s="12">
        <v>0.46250000000000002</v>
      </c>
      <c r="R189" s="12"/>
      <c r="AC189" s="3"/>
      <c r="AE189" s="3"/>
    </row>
    <row r="190" spans="1:31">
      <c r="A190">
        <v>196</v>
      </c>
      <c r="B190">
        <v>935</v>
      </c>
      <c r="M190" s="12">
        <v>0.47499999999999998</v>
      </c>
      <c r="P190" s="12">
        <v>0.46500000000000002</v>
      </c>
      <c r="Q190" s="12">
        <v>0.46500000000000002</v>
      </c>
      <c r="R190" s="12"/>
      <c r="AC190" s="3"/>
      <c r="AE190" s="3"/>
    </row>
    <row r="191" spans="1:31">
      <c r="A191">
        <v>197</v>
      </c>
      <c r="B191">
        <v>940</v>
      </c>
      <c r="M191" s="12">
        <v>0.47749999999999998</v>
      </c>
      <c r="P191" s="12">
        <v>0.46750000000000003</v>
      </c>
      <c r="Q191" s="12">
        <v>0.46750000000000003</v>
      </c>
      <c r="R191" s="12"/>
      <c r="AC191" s="3"/>
      <c r="AE191" s="3"/>
    </row>
    <row r="192" spans="1:31">
      <c r="A192">
        <v>198</v>
      </c>
      <c r="B192">
        <v>945</v>
      </c>
      <c r="M192" s="12">
        <v>0.48</v>
      </c>
      <c r="P192" s="12">
        <v>0.47</v>
      </c>
      <c r="Q192" s="12">
        <v>0.47</v>
      </c>
      <c r="R192" s="12"/>
      <c r="AC192" s="3"/>
      <c r="AE192" s="3"/>
    </row>
    <row r="193" spans="1:31">
      <c r="A193">
        <v>199</v>
      </c>
      <c r="B193">
        <v>950</v>
      </c>
      <c r="M193" s="12">
        <v>0.48249999999999998</v>
      </c>
      <c r="P193" s="12">
        <v>0.47249999999999998</v>
      </c>
      <c r="Q193" s="12">
        <v>0.47249999999999998</v>
      </c>
      <c r="R193" s="12"/>
      <c r="AC193" s="3"/>
      <c r="AE193" s="3"/>
    </row>
    <row r="194" spans="1:31">
      <c r="A194">
        <v>200</v>
      </c>
      <c r="B194">
        <v>955</v>
      </c>
      <c r="M194" s="12">
        <v>0.48499999999999999</v>
      </c>
      <c r="P194" s="12">
        <v>0.47499999999999998</v>
      </c>
      <c r="Q194" s="12">
        <v>0.47499999999999998</v>
      </c>
      <c r="R194" s="12"/>
      <c r="AC194" s="3"/>
      <c r="AE194" s="3"/>
    </row>
    <row r="195" spans="1:31">
      <c r="A195">
        <v>201</v>
      </c>
      <c r="B195">
        <v>960</v>
      </c>
      <c r="M195" s="12">
        <v>0.48749999999999999</v>
      </c>
      <c r="P195" s="12">
        <v>0.47749999999999998</v>
      </c>
      <c r="Q195" s="12">
        <v>0.47749999999999998</v>
      </c>
      <c r="R195" s="12"/>
      <c r="AC195" s="3"/>
      <c r="AE195" s="3"/>
    </row>
    <row r="196" spans="1:31">
      <c r="A196">
        <v>202</v>
      </c>
      <c r="B196">
        <v>965</v>
      </c>
      <c r="M196" s="12">
        <v>0.49</v>
      </c>
      <c r="P196" s="12">
        <v>0.48</v>
      </c>
      <c r="Q196" s="12">
        <v>0.48</v>
      </c>
      <c r="R196" s="12"/>
      <c r="AC196" s="3"/>
      <c r="AE196" s="3"/>
    </row>
    <row r="197" spans="1:31">
      <c r="A197">
        <v>203</v>
      </c>
      <c r="B197">
        <v>970</v>
      </c>
      <c r="M197" s="12">
        <v>0.49249999999999999</v>
      </c>
      <c r="P197" s="12">
        <v>0.48249999999999998</v>
      </c>
      <c r="Q197" s="12">
        <v>0.48249999999999998</v>
      </c>
      <c r="R197" s="12"/>
      <c r="AC197" s="3"/>
      <c r="AE197" s="3"/>
    </row>
    <row r="198" spans="1:31">
      <c r="A198">
        <v>204</v>
      </c>
      <c r="B198">
        <v>975</v>
      </c>
      <c r="M198" s="12">
        <v>0.495</v>
      </c>
      <c r="P198" s="12">
        <v>0.48499999999999999</v>
      </c>
      <c r="Q198" s="12">
        <v>0.48499999999999999</v>
      </c>
      <c r="R198" s="12"/>
      <c r="AC198" s="3"/>
      <c r="AE198" s="3"/>
    </row>
    <row r="199" spans="1:31">
      <c r="A199">
        <v>205</v>
      </c>
      <c r="B199">
        <v>980</v>
      </c>
      <c r="M199" s="12">
        <v>0.4975</v>
      </c>
      <c r="P199" s="12">
        <v>0.48749999999999999</v>
      </c>
      <c r="Q199" s="12">
        <v>0.48749999999999999</v>
      </c>
      <c r="R199" s="12"/>
      <c r="AC199" s="3"/>
      <c r="AE199" s="3"/>
    </row>
    <row r="200" spans="1:31">
      <c r="A200">
        <v>206</v>
      </c>
      <c r="B200">
        <v>985</v>
      </c>
      <c r="M200" s="12">
        <v>0.5</v>
      </c>
      <c r="P200" s="12">
        <v>0.49</v>
      </c>
      <c r="Q200" s="12">
        <v>0.49</v>
      </c>
      <c r="R200" s="12"/>
      <c r="AC200" s="3"/>
      <c r="AE200" s="3"/>
    </row>
    <row r="201" spans="1:31">
      <c r="A201">
        <v>207</v>
      </c>
      <c r="B201">
        <v>990</v>
      </c>
      <c r="P201" s="12">
        <v>0.49249999999999999</v>
      </c>
      <c r="Q201" s="12">
        <v>0.49249999999999999</v>
      </c>
      <c r="R201" s="12"/>
      <c r="AC201" s="3"/>
      <c r="AE201" s="3"/>
    </row>
    <row r="202" spans="1:31">
      <c r="A202">
        <v>208</v>
      </c>
      <c r="B202">
        <v>995</v>
      </c>
      <c r="P202" s="12">
        <v>0.495</v>
      </c>
      <c r="Q202" s="12">
        <v>0.495</v>
      </c>
      <c r="R202" s="12"/>
      <c r="AC202" s="3"/>
      <c r="AE202" s="3"/>
    </row>
    <row r="203" spans="1:31">
      <c r="A203">
        <v>209</v>
      </c>
      <c r="B203">
        <v>1000</v>
      </c>
      <c r="P203" s="12">
        <v>0.4975</v>
      </c>
      <c r="Q203" s="12">
        <v>0.4975</v>
      </c>
      <c r="R203" s="12"/>
      <c r="AC203" s="3"/>
      <c r="AE203" s="3"/>
    </row>
    <row r="204" spans="1:31">
      <c r="A204">
        <v>210</v>
      </c>
      <c r="B204">
        <v>1005</v>
      </c>
      <c r="P204" s="12">
        <v>0.5</v>
      </c>
      <c r="Q204" s="12">
        <v>0.5</v>
      </c>
      <c r="R204" s="12"/>
      <c r="AC204" s="3"/>
      <c r="AE204" s="3"/>
    </row>
    <row r="205" spans="1:31">
      <c r="A205">
        <v>211</v>
      </c>
      <c r="B205">
        <v>1010</v>
      </c>
      <c r="P205" s="12">
        <v>0.50249999999999995</v>
      </c>
      <c r="Q205" s="12">
        <v>0.50249999999999995</v>
      </c>
      <c r="R205" s="12"/>
      <c r="AC205" s="3"/>
      <c r="AE205" s="3"/>
    </row>
    <row r="206" spans="1:31">
      <c r="A206">
        <v>212</v>
      </c>
      <c r="B206">
        <v>1015</v>
      </c>
      <c r="P206" s="12">
        <v>0.505</v>
      </c>
      <c r="Q206" s="12">
        <v>0.505</v>
      </c>
      <c r="R206" s="12"/>
      <c r="AC206" s="3"/>
      <c r="AE206" s="3"/>
    </row>
    <row r="207" spans="1:31">
      <c r="A207">
        <v>213</v>
      </c>
      <c r="B207">
        <v>1020</v>
      </c>
      <c r="P207" s="12">
        <v>0.50749999999999995</v>
      </c>
      <c r="Q207" s="12">
        <v>0.50749999999999995</v>
      </c>
      <c r="R207" s="12"/>
      <c r="AC207" s="3"/>
      <c r="AE207" s="3"/>
    </row>
    <row r="208" spans="1:31">
      <c r="A208">
        <v>214</v>
      </c>
      <c r="B208">
        <v>1025</v>
      </c>
      <c r="P208" s="12">
        <v>0.51</v>
      </c>
      <c r="Q208" s="12">
        <v>0.51</v>
      </c>
      <c r="R208" s="12"/>
      <c r="AC208" s="3"/>
      <c r="AE208" s="3"/>
    </row>
    <row r="209" spans="1:31">
      <c r="A209">
        <v>215</v>
      </c>
      <c r="B209">
        <v>1030</v>
      </c>
      <c r="P209" s="12">
        <v>0.51249999999999996</v>
      </c>
      <c r="Q209" s="12">
        <v>0.51249999999999996</v>
      </c>
      <c r="R209" s="12"/>
      <c r="AC209" s="3"/>
      <c r="AE209" s="3"/>
    </row>
    <row r="210" spans="1:31">
      <c r="A210">
        <v>216</v>
      </c>
      <c r="B210">
        <v>1035</v>
      </c>
      <c r="P210" s="12">
        <v>0.51500000000000001</v>
      </c>
      <c r="Q210" s="12">
        <v>0.51500000000000001</v>
      </c>
      <c r="R210" s="12"/>
      <c r="AC210" s="3"/>
      <c r="AE210" s="3"/>
    </row>
    <row r="211" spans="1:31">
      <c r="A211">
        <v>217</v>
      </c>
      <c r="B211">
        <v>1040</v>
      </c>
      <c r="P211" s="12">
        <v>0.51749999999999996</v>
      </c>
      <c r="Q211" s="12">
        <v>0.51749999999999996</v>
      </c>
      <c r="R211" s="12"/>
      <c r="AC211" s="3"/>
      <c r="AE211" s="3"/>
    </row>
    <row r="212" spans="1:31">
      <c r="A212">
        <v>218</v>
      </c>
      <c r="B212">
        <v>1045</v>
      </c>
      <c r="P212" s="12">
        <v>0.52</v>
      </c>
      <c r="Q212" s="12">
        <v>0.52</v>
      </c>
      <c r="R212" s="12"/>
      <c r="AC212" s="3"/>
      <c r="AE212" s="3"/>
    </row>
    <row r="213" spans="1:31">
      <c r="A213">
        <v>219</v>
      </c>
      <c r="B213">
        <v>1050</v>
      </c>
      <c r="P213" s="12">
        <v>0.52249999999999996</v>
      </c>
      <c r="Q213" s="12">
        <v>0.52249999999999996</v>
      </c>
      <c r="R213" s="12"/>
      <c r="AC213" s="3"/>
      <c r="AE213" s="3"/>
    </row>
    <row r="214" spans="1:31">
      <c r="A214">
        <v>220</v>
      </c>
      <c r="B214">
        <v>1055</v>
      </c>
      <c r="P214" s="12">
        <v>0.52500000000000002</v>
      </c>
      <c r="Q214" s="12">
        <v>0.52500000000000002</v>
      </c>
      <c r="R214" s="12"/>
      <c r="AC214" s="3"/>
      <c r="AE214" s="3"/>
    </row>
    <row r="215" spans="1:31">
      <c r="A215">
        <v>221</v>
      </c>
      <c r="B215">
        <v>1060</v>
      </c>
      <c r="P215" s="12">
        <v>0.52749999999999997</v>
      </c>
      <c r="Q215" s="12">
        <v>0.52749999999999997</v>
      </c>
      <c r="R215" s="12"/>
      <c r="AC215" s="3"/>
      <c r="AE215" s="3"/>
    </row>
    <row r="216" spans="1:31">
      <c r="A216">
        <v>222</v>
      </c>
      <c r="B216">
        <v>1065</v>
      </c>
      <c r="P216" s="12">
        <v>0.53</v>
      </c>
      <c r="Q216" s="12">
        <v>0.53</v>
      </c>
      <c r="R216" s="12"/>
      <c r="AC216" s="3"/>
      <c r="AE216" s="3"/>
    </row>
    <row r="217" spans="1:31">
      <c r="A217">
        <v>223</v>
      </c>
      <c r="B217">
        <v>1070</v>
      </c>
      <c r="P217" s="12">
        <v>0.53249999999999997</v>
      </c>
      <c r="Q217" s="12">
        <v>0.53249999999999997</v>
      </c>
      <c r="R217" s="12"/>
      <c r="AC217" s="3"/>
      <c r="AE217" s="3"/>
    </row>
    <row r="218" spans="1:31">
      <c r="A218">
        <v>224</v>
      </c>
      <c r="B218">
        <v>1075</v>
      </c>
      <c r="P218" s="12">
        <v>0.53500000000000003</v>
      </c>
      <c r="Q218" s="12">
        <v>0.53500000000000003</v>
      </c>
      <c r="R218" s="12"/>
      <c r="AC218" s="3"/>
      <c r="AE218" s="3"/>
    </row>
    <row r="219" spans="1:31">
      <c r="A219">
        <v>225</v>
      </c>
      <c r="B219">
        <v>1080</v>
      </c>
      <c r="P219" s="12">
        <v>0.53749999999999998</v>
      </c>
      <c r="Q219" s="12">
        <v>0.53749999999999998</v>
      </c>
      <c r="R219" s="12"/>
      <c r="AC219" s="3"/>
      <c r="AE219" s="3"/>
    </row>
    <row r="220" spans="1:31">
      <c r="A220">
        <v>226</v>
      </c>
      <c r="B220">
        <v>1085</v>
      </c>
      <c r="P220" s="12">
        <v>0.54</v>
      </c>
      <c r="Q220" s="12">
        <v>0.54</v>
      </c>
      <c r="R220" s="12"/>
      <c r="AC220" s="3"/>
      <c r="AE220" s="3"/>
    </row>
    <row r="221" spans="1:31">
      <c r="A221">
        <v>227</v>
      </c>
      <c r="B221">
        <v>1090</v>
      </c>
      <c r="P221" s="12">
        <v>0.54249999999999998</v>
      </c>
      <c r="Q221" s="12">
        <v>0.54249999999999998</v>
      </c>
      <c r="R221" s="12"/>
      <c r="AC221" s="3"/>
      <c r="AE221" s="3"/>
    </row>
    <row r="222" spans="1:31">
      <c r="A222">
        <v>228</v>
      </c>
      <c r="B222">
        <v>1095</v>
      </c>
      <c r="P222" s="12">
        <v>0.54500000000000004</v>
      </c>
      <c r="Q222" s="12">
        <v>0.54500000000000004</v>
      </c>
      <c r="R222" s="12"/>
      <c r="AC222" s="3"/>
      <c r="AE222" s="3"/>
    </row>
    <row r="223" spans="1:31">
      <c r="A223">
        <v>229</v>
      </c>
      <c r="B223">
        <v>1100</v>
      </c>
      <c r="P223" s="12">
        <v>0.54749999999999999</v>
      </c>
      <c r="Q223" s="12">
        <v>0.54749999999999999</v>
      </c>
      <c r="R223" s="12"/>
      <c r="AC223" s="3"/>
      <c r="AE223" s="3"/>
    </row>
    <row r="224" spans="1:31">
      <c r="A224">
        <v>230</v>
      </c>
      <c r="B224">
        <v>1105</v>
      </c>
      <c r="P224" s="12">
        <v>0.55000000000000004</v>
      </c>
      <c r="Q224" s="12">
        <v>0.55000000000000004</v>
      </c>
      <c r="R224" s="12"/>
      <c r="AC224" s="3"/>
      <c r="AE224" s="3"/>
    </row>
    <row r="225" spans="1:31">
      <c r="A225">
        <v>231</v>
      </c>
      <c r="B225">
        <v>1110</v>
      </c>
      <c r="P225" s="12">
        <v>0.55249999999999999</v>
      </c>
      <c r="Q225" s="12">
        <v>0.55249999999999999</v>
      </c>
      <c r="R225" s="12"/>
      <c r="AC225" s="3"/>
      <c r="AE225" s="3"/>
    </row>
    <row r="226" spans="1:31">
      <c r="A226">
        <v>232</v>
      </c>
      <c r="B226">
        <v>1115</v>
      </c>
      <c r="P226" s="12">
        <v>0.55500000000000005</v>
      </c>
      <c r="Q226" s="12">
        <v>0.55500000000000005</v>
      </c>
      <c r="R226" s="12"/>
      <c r="AC226" s="3"/>
      <c r="AE226" s="3"/>
    </row>
    <row r="227" spans="1:31">
      <c r="A227">
        <v>233</v>
      </c>
      <c r="B227">
        <v>1120</v>
      </c>
      <c r="P227" s="12">
        <v>0.5575</v>
      </c>
      <c r="Q227" s="12">
        <v>0.5575</v>
      </c>
      <c r="R227" s="12"/>
      <c r="AC227" s="3"/>
      <c r="AE227" s="3"/>
    </row>
    <row r="228" spans="1:31">
      <c r="A228">
        <v>234</v>
      </c>
      <c r="B228">
        <v>1125</v>
      </c>
      <c r="P228" s="12">
        <v>0.56000000000000005</v>
      </c>
      <c r="Q228" s="12">
        <v>0.56000000000000005</v>
      </c>
      <c r="R228" s="12"/>
      <c r="AC228" s="3"/>
      <c r="AE228" s="3"/>
    </row>
    <row r="229" spans="1:31">
      <c r="A229">
        <v>235</v>
      </c>
      <c r="B229">
        <v>1130</v>
      </c>
      <c r="P229" s="12">
        <v>0.5625</v>
      </c>
      <c r="Q229" s="12">
        <v>0.5625</v>
      </c>
      <c r="R229" s="12"/>
      <c r="AC229" s="3"/>
      <c r="AE229" s="3"/>
    </row>
    <row r="230" spans="1:31">
      <c r="A230">
        <v>236</v>
      </c>
      <c r="B230">
        <v>1135</v>
      </c>
      <c r="P230" s="12">
        <v>0.56499999999999995</v>
      </c>
      <c r="Q230" s="12">
        <v>0.56499999999999995</v>
      </c>
      <c r="R230" s="12"/>
      <c r="AC230" s="3"/>
      <c r="AE230" s="3"/>
    </row>
    <row r="231" spans="1:31">
      <c r="A231">
        <v>237</v>
      </c>
      <c r="B231">
        <v>1140</v>
      </c>
      <c r="P231" s="12">
        <v>0.5675</v>
      </c>
      <c r="Q231" s="12">
        <v>0.5675</v>
      </c>
      <c r="R231" s="12"/>
      <c r="AC231" s="3"/>
      <c r="AE231" s="3"/>
    </row>
    <row r="232" spans="1:31">
      <c r="A232">
        <v>238</v>
      </c>
      <c r="B232">
        <v>1145</v>
      </c>
      <c r="P232" s="12">
        <v>0.56999999999999995</v>
      </c>
      <c r="Q232" s="12">
        <v>0.56999999999999995</v>
      </c>
      <c r="R232" s="12"/>
      <c r="AC232" s="3"/>
      <c r="AE232" s="3"/>
    </row>
    <row r="233" spans="1:31">
      <c r="A233">
        <v>239</v>
      </c>
      <c r="B233">
        <v>1150</v>
      </c>
      <c r="P233" s="12">
        <v>0.57250000000000001</v>
      </c>
      <c r="Q233" s="12">
        <v>0.57250000000000001</v>
      </c>
      <c r="R233" s="12"/>
      <c r="AC233" s="3"/>
      <c r="AE233" s="3"/>
    </row>
    <row r="234" spans="1:31">
      <c r="A234">
        <v>240</v>
      </c>
      <c r="B234">
        <v>1155</v>
      </c>
      <c r="P234" s="12">
        <v>0.57499999999999996</v>
      </c>
      <c r="Q234" s="12">
        <v>0.57499999999999996</v>
      </c>
      <c r="R234" s="12"/>
      <c r="AC234" s="3"/>
      <c r="AE234" s="3"/>
    </row>
    <row r="235" spans="1:31">
      <c r="A235">
        <v>241</v>
      </c>
      <c r="B235">
        <v>1160</v>
      </c>
      <c r="P235" s="12">
        <v>0.57750000000000001</v>
      </c>
      <c r="Q235" s="12">
        <v>0.57750000000000001</v>
      </c>
      <c r="R235" s="12"/>
      <c r="AC235" s="3"/>
      <c r="AE235" s="3"/>
    </row>
    <row r="236" spans="1:31">
      <c r="A236">
        <v>242</v>
      </c>
      <c r="B236">
        <v>1165</v>
      </c>
      <c r="P236" s="12">
        <v>0.57999999999999996</v>
      </c>
      <c r="Q236" s="12">
        <v>0.57999999999999996</v>
      </c>
      <c r="R236" s="12"/>
      <c r="AC236" s="3"/>
      <c r="AE236" s="3"/>
    </row>
    <row r="237" spans="1:31">
      <c r="A237">
        <v>243</v>
      </c>
      <c r="B237">
        <v>1170</v>
      </c>
      <c r="P237" s="12">
        <v>0.58250000000000002</v>
      </c>
      <c r="Q237" s="12">
        <v>0.58250000000000002</v>
      </c>
      <c r="R237" s="12"/>
      <c r="AC237" s="3"/>
      <c r="AE237" s="3"/>
    </row>
    <row r="238" spans="1:31">
      <c r="A238">
        <v>244</v>
      </c>
      <c r="B238">
        <v>1175</v>
      </c>
      <c r="P238" s="12">
        <v>0.58499999999999996</v>
      </c>
      <c r="Q238" s="12">
        <v>0.58499999999999996</v>
      </c>
      <c r="R238" s="12"/>
      <c r="AC238" s="3"/>
      <c r="AE238" s="3"/>
    </row>
    <row r="239" spans="1:31">
      <c r="A239">
        <v>245</v>
      </c>
      <c r="B239">
        <v>1180</v>
      </c>
      <c r="P239" s="12">
        <v>0.58750000000000002</v>
      </c>
      <c r="Q239" s="12">
        <v>0.58750000000000002</v>
      </c>
      <c r="R239" s="12"/>
      <c r="AC239" s="3"/>
      <c r="AE239" s="3"/>
    </row>
    <row r="240" spans="1:31">
      <c r="A240">
        <v>246</v>
      </c>
      <c r="B240">
        <v>1185</v>
      </c>
      <c r="P240" s="12">
        <v>0.59</v>
      </c>
      <c r="Q240" s="12">
        <v>0.59</v>
      </c>
      <c r="R240" s="12"/>
      <c r="AC240" s="3"/>
      <c r="AE240" s="3"/>
    </row>
    <row r="241" spans="1:31">
      <c r="A241">
        <v>247</v>
      </c>
      <c r="B241">
        <v>1190</v>
      </c>
      <c r="P241" s="12">
        <v>0.59250000000000003</v>
      </c>
      <c r="Q241" s="12">
        <v>0.59250000000000003</v>
      </c>
      <c r="R241" s="12"/>
      <c r="AC241" s="3"/>
      <c r="AE241" s="3"/>
    </row>
    <row r="242" spans="1:31">
      <c r="A242">
        <v>248</v>
      </c>
      <c r="B242">
        <v>1195</v>
      </c>
      <c r="P242" s="12">
        <v>0.59499999999999997</v>
      </c>
      <c r="Q242" s="12">
        <v>0.59499999999999997</v>
      </c>
      <c r="R242" s="12"/>
      <c r="AC242" s="3"/>
      <c r="AE242" s="3"/>
    </row>
    <row r="243" spans="1:31">
      <c r="A243">
        <v>249</v>
      </c>
      <c r="B243">
        <v>1200</v>
      </c>
      <c r="P243" s="12">
        <v>0.59750000000000003</v>
      </c>
      <c r="Q243" s="12">
        <v>0.59750000000000003</v>
      </c>
      <c r="R243" s="12"/>
      <c r="AC243" s="3"/>
      <c r="AE243" s="3"/>
    </row>
    <row r="244" spans="1:31">
      <c r="A244">
        <v>250</v>
      </c>
      <c r="B244">
        <v>1205</v>
      </c>
      <c r="P244" s="12">
        <v>0.6</v>
      </c>
      <c r="Q244" s="12">
        <v>0.6</v>
      </c>
      <c r="R244" s="12"/>
      <c r="AE244" s="3"/>
    </row>
    <row r="245" spans="1:31">
      <c r="A245">
        <v>251</v>
      </c>
      <c r="B245">
        <v>1210</v>
      </c>
      <c r="P245" s="12">
        <v>0.60250000000000004</v>
      </c>
      <c r="Q245" s="12">
        <v>0.60250000000000004</v>
      </c>
      <c r="R245" s="12"/>
      <c r="AE245" s="3"/>
    </row>
    <row r="246" spans="1:31">
      <c r="A246">
        <v>252</v>
      </c>
      <c r="B246">
        <v>1215</v>
      </c>
      <c r="P246" s="12">
        <v>0.60499999999999998</v>
      </c>
      <c r="Q246" s="12">
        <v>0.60499999999999998</v>
      </c>
      <c r="R246" s="12"/>
      <c r="AE246" s="3"/>
    </row>
    <row r="247" spans="1:31">
      <c r="A247">
        <v>253</v>
      </c>
      <c r="B247">
        <v>1220</v>
      </c>
      <c r="P247" s="12">
        <v>0.60750000000000004</v>
      </c>
      <c r="Q247" s="12">
        <v>0.60750000000000004</v>
      </c>
      <c r="R247" s="12"/>
      <c r="AE247" s="3"/>
    </row>
    <row r="248" spans="1:31">
      <c r="A248">
        <v>254</v>
      </c>
      <c r="B248">
        <v>1225</v>
      </c>
      <c r="P248" s="12">
        <v>0.61</v>
      </c>
      <c r="Q248" s="12">
        <v>0.61</v>
      </c>
      <c r="R248" s="12"/>
      <c r="AE248" s="3"/>
    </row>
    <row r="249" spans="1:31">
      <c r="A249">
        <v>255</v>
      </c>
      <c r="B249">
        <v>1230</v>
      </c>
      <c r="P249" s="12">
        <v>0.61250000000000004</v>
      </c>
      <c r="Q249" s="12">
        <v>0.61250000000000004</v>
      </c>
      <c r="R249" s="12"/>
      <c r="AE249" s="3"/>
    </row>
    <row r="250" spans="1:31">
      <c r="A250">
        <v>256</v>
      </c>
      <c r="B250">
        <v>1235</v>
      </c>
      <c r="P250" s="12">
        <v>0.61499999999999999</v>
      </c>
      <c r="Q250" s="12">
        <v>0.61499999999999999</v>
      </c>
      <c r="R250" s="12"/>
      <c r="AE250" s="3"/>
    </row>
    <row r="251" spans="1:31">
      <c r="A251">
        <v>257</v>
      </c>
      <c r="B251">
        <v>1240</v>
      </c>
      <c r="P251" s="12">
        <v>0.61750000000000005</v>
      </c>
      <c r="Q251" s="12">
        <v>0.61750000000000005</v>
      </c>
      <c r="R251" s="12"/>
      <c r="AE251" s="3"/>
    </row>
    <row r="252" spans="1:31">
      <c r="A252">
        <v>258</v>
      </c>
      <c r="B252">
        <v>1245</v>
      </c>
      <c r="P252" s="12">
        <v>0.62</v>
      </c>
      <c r="Q252" s="12">
        <v>0.62</v>
      </c>
      <c r="R252" s="12"/>
      <c r="AE252" s="3"/>
    </row>
    <row r="253" spans="1:31">
      <c r="A253">
        <v>259</v>
      </c>
      <c r="B253">
        <v>1250</v>
      </c>
      <c r="P253" s="12">
        <v>0.62250000000000005</v>
      </c>
      <c r="Q253" s="12">
        <v>0.62250000000000005</v>
      </c>
      <c r="R253" s="12"/>
      <c r="AE253" s="3"/>
    </row>
    <row r="254" spans="1:31">
      <c r="A254">
        <v>260</v>
      </c>
      <c r="B254">
        <v>1255</v>
      </c>
      <c r="P254" s="12">
        <v>0.625</v>
      </c>
      <c r="Q254" s="12">
        <v>0.625</v>
      </c>
      <c r="R254" s="12"/>
      <c r="AE254" s="3"/>
    </row>
    <row r="255" spans="1:31">
      <c r="A255">
        <v>261</v>
      </c>
      <c r="B255">
        <v>1260</v>
      </c>
      <c r="P255" s="12">
        <v>0.62749999999999995</v>
      </c>
      <c r="Q255" s="12">
        <v>0.62749999999999995</v>
      </c>
      <c r="R255" s="12"/>
      <c r="AE255" s="3"/>
    </row>
    <row r="256" spans="1:31">
      <c r="A256">
        <v>262</v>
      </c>
      <c r="B256">
        <v>1265</v>
      </c>
      <c r="P256" s="12">
        <v>0.63</v>
      </c>
      <c r="Q256" s="12">
        <v>0.63</v>
      </c>
      <c r="R256" s="12"/>
      <c r="AE256" s="3"/>
    </row>
    <row r="257" spans="1:31">
      <c r="A257">
        <v>263</v>
      </c>
      <c r="B257">
        <v>1270</v>
      </c>
      <c r="P257" s="12">
        <v>0.63249999999999995</v>
      </c>
      <c r="Q257" s="12">
        <v>0.63249999999999995</v>
      </c>
      <c r="R257" s="12"/>
      <c r="AE257" s="3"/>
    </row>
    <row r="258" spans="1:31">
      <c r="A258">
        <v>264</v>
      </c>
      <c r="B258">
        <v>1275</v>
      </c>
      <c r="P258" s="12">
        <v>0.63500000000000001</v>
      </c>
      <c r="Q258" s="12">
        <v>0.63500000000000001</v>
      </c>
      <c r="R258" s="12"/>
      <c r="AE258" s="3"/>
    </row>
    <row r="259" spans="1:31">
      <c r="A259">
        <v>265</v>
      </c>
      <c r="B259">
        <v>1280</v>
      </c>
      <c r="P259" s="12">
        <v>0.63749999999999996</v>
      </c>
      <c r="Q259" s="12">
        <v>0.63749999999999996</v>
      </c>
      <c r="R259" s="12"/>
      <c r="AE259" s="3"/>
    </row>
    <row r="260" spans="1:31">
      <c r="A260">
        <v>266</v>
      </c>
      <c r="B260">
        <v>1285</v>
      </c>
      <c r="P260" s="12">
        <v>0.64</v>
      </c>
      <c r="Q260" s="12">
        <v>0.64</v>
      </c>
      <c r="R260" s="12"/>
      <c r="AE260" s="3"/>
    </row>
    <row r="261" spans="1:31">
      <c r="A261">
        <v>267</v>
      </c>
      <c r="B261">
        <v>1290</v>
      </c>
      <c r="P261" s="12">
        <v>0.64249999999999996</v>
      </c>
      <c r="Q261" s="12">
        <v>0.64249999999999996</v>
      </c>
      <c r="R261" s="12"/>
      <c r="AE261" s="3"/>
    </row>
    <row r="262" spans="1:31">
      <c r="A262">
        <v>268</v>
      </c>
      <c r="B262">
        <v>1295</v>
      </c>
      <c r="P262" s="12">
        <v>0.64500000000000002</v>
      </c>
      <c r="Q262" s="12">
        <v>0.64500000000000002</v>
      </c>
      <c r="R262" s="12"/>
      <c r="AE262" s="3"/>
    </row>
    <row r="263" spans="1:31">
      <c r="A263">
        <v>269</v>
      </c>
      <c r="B263">
        <v>1300</v>
      </c>
      <c r="P263" s="12">
        <v>0.64749999999999996</v>
      </c>
      <c r="Q263" s="12">
        <v>0.64749999999999996</v>
      </c>
      <c r="R263" s="12"/>
      <c r="AE263" s="3"/>
    </row>
    <row r="264" spans="1:31">
      <c r="A264">
        <v>270</v>
      </c>
      <c r="B264">
        <v>1305</v>
      </c>
      <c r="P264" s="12">
        <v>0.65</v>
      </c>
      <c r="Q264" s="12">
        <v>0.65</v>
      </c>
      <c r="R264" s="12"/>
      <c r="AE264" s="3"/>
    </row>
    <row r="265" spans="1:31">
      <c r="A265">
        <v>271</v>
      </c>
      <c r="B265">
        <v>1310</v>
      </c>
      <c r="P265" s="12">
        <v>0.65249999999999997</v>
      </c>
      <c r="Q265" s="12">
        <v>0.65249999999999997</v>
      </c>
      <c r="R265" s="12"/>
      <c r="AE265" s="3"/>
    </row>
    <row r="266" spans="1:31">
      <c r="A266">
        <v>272</v>
      </c>
      <c r="B266">
        <v>1315</v>
      </c>
      <c r="P266" s="12">
        <v>0.65500000000000003</v>
      </c>
      <c r="Q266" s="12">
        <v>0.65500000000000003</v>
      </c>
      <c r="R266" s="12"/>
      <c r="AE266" s="3"/>
    </row>
    <row r="267" spans="1:31">
      <c r="A267">
        <v>273</v>
      </c>
      <c r="B267">
        <v>1320</v>
      </c>
      <c r="P267" s="12">
        <v>0.65749999999999997</v>
      </c>
      <c r="Q267" s="12">
        <v>0.65749999999999997</v>
      </c>
      <c r="R267" s="12"/>
      <c r="AE267" s="3"/>
    </row>
    <row r="268" spans="1:31">
      <c r="A268">
        <v>274</v>
      </c>
      <c r="B268">
        <v>1325</v>
      </c>
      <c r="P268" s="12">
        <v>0.66</v>
      </c>
      <c r="Q268" s="12">
        <v>0.66</v>
      </c>
      <c r="R268" s="12"/>
      <c r="AE268" s="3"/>
    </row>
    <row r="269" spans="1:31">
      <c r="A269">
        <v>275</v>
      </c>
      <c r="B269">
        <v>1330</v>
      </c>
      <c r="P269" s="12">
        <v>0.66249999999999998</v>
      </c>
      <c r="Q269" s="12">
        <v>0.66249999999999998</v>
      </c>
      <c r="R269" s="12"/>
      <c r="AE269" s="3"/>
    </row>
    <row r="270" spans="1:31">
      <c r="A270">
        <v>276</v>
      </c>
      <c r="B270">
        <v>1335</v>
      </c>
      <c r="P270" s="12">
        <v>0.66500000000000004</v>
      </c>
      <c r="Q270" s="12">
        <v>0.66500000000000004</v>
      </c>
      <c r="R270" s="12"/>
      <c r="AE270" s="3"/>
    </row>
    <row r="271" spans="1:31">
      <c r="A271">
        <v>277</v>
      </c>
      <c r="B271">
        <v>1340</v>
      </c>
      <c r="P271" s="12">
        <v>0.66749999999999998</v>
      </c>
      <c r="Q271" s="12">
        <v>0.66749999999999998</v>
      </c>
      <c r="R271" s="12"/>
      <c r="AE271" s="3"/>
    </row>
    <row r="272" spans="1:31">
      <c r="A272">
        <v>278</v>
      </c>
      <c r="B272">
        <v>1345</v>
      </c>
      <c r="P272" s="12">
        <v>0.67</v>
      </c>
      <c r="Q272" s="12">
        <v>0.67</v>
      </c>
      <c r="R272" s="12"/>
      <c r="AE272" s="3"/>
    </row>
    <row r="273" spans="1:31">
      <c r="A273">
        <v>279</v>
      </c>
      <c r="B273">
        <v>1350</v>
      </c>
      <c r="P273" s="12">
        <v>0.67249999999999999</v>
      </c>
      <c r="Q273" s="12">
        <v>0.67249999999999999</v>
      </c>
      <c r="R273" s="12"/>
      <c r="AE273" s="3"/>
    </row>
    <row r="274" spans="1:31">
      <c r="A274">
        <v>280</v>
      </c>
      <c r="B274">
        <v>1355</v>
      </c>
      <c r="P274" s="12">
        <v>0.67500000000000004</v>
      </c>
      <c r="Q274" s="12">
        <v>0.67500000000000004</v>
      </c>
      <c r="R274" s="12"/>
      <c r="AE274" s="3"/>
    </row>
    <row r="275" spans="1:31">
      <c r="A275">
        <v>281</v>
      </c>
      <c r="B275">
        <v>1360</v>
      </c>
      <c r="P275" s="12">
        <v>0.67749999999999999</v>
      </c>
      <c r="Q275" s="12">
        <v>0.67749999999999999</v>
      </c>
      <c r="R275" s="12"/>
      <c r="AE275" s="3"/>
    </row>
    <row r="276" spans="1:31">
      <c r="A276">
        <v>282</v>
      </c>
      <c r="B276">
        <v>1365</v>
      </c>
      <c r="P276" s="12">
        <v>0.68</v>
      </c>
      <c r="Q276" s="12">
        <v>0.68</v>
      </c>
      <c r="R276" s="12"/>
      <c r="AE276" s="3"/>
    </row>
    <row r="277" spans="1:31">
      <c r="A277">
        <v>283</v>
      </c>
      <c r="B277">
        <v>1370</v>
      </c>
      <c r="P277" s="12">
        <v>0.6825</v>
      </c>
      <c r="Q277" s="12">
        <v>0.6825</v>
      </c>
      <c r="R277" s="12"/>
      <c r="AE277" s="3"/>
    </row>
    <row r="278" spans="1:31">
      <c r="A278">
        <v>284</v>
      </c>
      <c r="B278">
        <v>1375</v>
      </c>
      <c r="P278" s="12">
        <v>0.68500000000000005</v>
      </c>
      <c r="Q278" s="12">
        <v>0.68500000000000005</v>
      </c>
      <c r="R278" s="12"/>
      <c r="AE278" s="3"/>
    </row>
    <row r="279" spans="1:31">
      <c r="A279">
        <v>285</v>
      </c>
      <c r="B279">
        <v>1380</v>
      </c>
      <c r="P279" s="12">
        <v>0.6875</v>
      </c>
      <c r="Q279" s="12">
        <v>0.6875</v>
      </c>
      <c r="R279" s="12"/>
      <c r="AE279" s="3"/>
    </row>
    <row r="280" spans="1:31">
      <c r="A280">
        <v>286</v>
      </c>
      <c r="B280">
        <v>1385</v>
      </c>
      <c r="P280" s="12">
        <v>0.69</v>
      </c>
      <c r="Q280" s="12">
        <v>0.69</v>
      </c>
      <c r="R280" s="12"/>
      <c r="AE280" s="3"/>
    </row>
    <row r="281" spans="1:31">
      <c r="A281">
        <v>287</v>
      </c>
      <c r="B281">
        <v>1390</v>
      </c>
      <c r="P281" s="12">
        <v>0.6925</v>
      </c>
      <c r="Q281" s="12">
        <v>0.6925</v>
      </c>
      <c r="R281" s="12"/>
      <c r="AE281" s="3"/>
    </row>
    <row r="282" spans="1:31">
      <c r="A282">
        <v>288</v>
      </c>
      <c r="B282">
        <v>1395</v>
      </c>
      <c r="P282" s="12">
        <v>0.69499999999999995</v>
      </c>
      <c r="Q282" s="12">
        <v>0.69499999999999995</v>
      </c>
      <c r="R282" s="12"/>
      <c r="AE282" s="3"/>
    </row>
    <row r="283" spans="1:31">
      <c r="A283">
        <v>289</v>
      </c>
      <c r="B283">
        <v>1400</v>
      </c>
      <c r="P283" s="12">
        <v>0.69750000000000001</v>
      </c>
      <c r="Q283" s="12">
        <v>0.69750000000000001</v>
      </c>
      <c r="R283" s="12"/>
      <c r="AE283" s="3"/>
    </row>
    <row r="284" spans="1:31">
      <c r="A284">
        <v>290</v>
      </c>
      <c r="B284">
        <v>1405</v>
      </c>
      <c r="P284" s="12">
        <v>0.7</v>
      </c>
      <c r="Q284" s="12">
        <v>0.7</v>
      </c>
      <c r="R284" s="12"/>
      <c r="AE284" s="3"/>
    </row>
    <row r="285" spans="1:31">
      <c r="A285">
        <v>291</v>
      </c>
      <c r="B285">
        <v>1410</v>
      </c>
      <c r="P285" s="12">
        <v>0.70250000000000001</v>
      </c>
      <c r="Q285" s="12">
        <v>0.70250000000000001</v>
      </c>
      <c r="R285" s="12"/>
      <c r="AE285" s="3"/>
    </row>
    <row r="286" spans="1:31">
      <c r="A286">
        <v>292</v>
      </c>
      <c r="B286">
        <v>1415</v>
      </c>
      <c r="P286" s="12">
        <v>0.70499999999999996</v>
      </c>
      <c r="Q286" s="12">
        <v>0.70499999999999996</v>
      </c>
      <c r="R286" s="12"/>
      <c r="AE286" s="3"/>
    </row>
    <row r="287" spans="1:31">
      <c r="A287">
        <v>293</v>
      </c>
      <c r="B287">
        <v>1420</v>
      </c>
      <c r="P287" s="12">
        <v>0.70750000000000002</v>
      </c>
      <c r="Q287" s="12">
        <v>0.70750000000000002</v>
      </c>
      <c r="R287" s="12"/>
      <c r="AE287" s="3"/>
    </row>
    <row r="288" spans="1:31">
      <c r="A288">
        <v>294</v>
      </c>
      <c r="B288">
        <v>1425</v>
      </c>
      <c r="P288" s="12">
        <v>0.71</v>
      </c>
      <c r="Q288" s="12">
        <v>0.71</v>
      </c>
      <c r="R288" s="12"/>
      <c r="AE288" s="3"/>
    </row>
    <row r="289" spans="1:31">
      <c r="A289">
        <v>295</v>
      </c>
      <c r="B289">
        <v>1430</v>
      </c>
      <c r="P289" s="12">
        <v>0.71250000000000002</v>
      </c>
      <c r="Q289" s="12">
        <v>0.71250000000000002</v>
      </c>
      <c r="R289" s="12"/>
      <c r="AE289" s="3"/>
    </row>
    <row r="290" spans="1:31">
      <c r="A290">
        <v>296</v>
      </c>
      <c r="B290">
        <v>1435</v>
      </c>
      <c r="P290" s="12">
        <v>0.71499999999999997</v>
      </c>
      <c r="Q290" s="12">
        <v>0.71499999999999997</v>
      </c>
      <c r="R290" s="12"/>
      <c r="AE290" s="3"/>
    </row>
    <row r="291" spans="1:31">
      <c r="A291">
        <v>297</v>
      </c>
      <c r="B291">
        <v>1440</v>
      </c>
      <c r="P291" s="12">
        <v>0.71750000000000003</v>
      </c>
      <c r="Q291" s="12">
        <v>0.71750000000000003</v>
      </c>
      <c r="R291" s="12"/>
      <c r="AE291" s="3"/>
    </row>
    <row r="292" spans="1:31">
      <c r="A292">
        <v>298</v>
      </c>
      <c r="B292">
        <v>1445</v>
      </c>
      <c r="P292" s="12">
        <v>0.72</v>
      </c>
      <c r="Q292" s="12">
        <v>0.72</v>
      </c>
      <c r="R292" s="12"/>
      <c r="AE292" s="3"/>
    </row>
    <row r="293" spans="1:31">
      <c r="A293">
        <v>299</v>
      </c>
      <c r="B293">
        <v>1450</v>
      </c>
      <c r="P293" s="12">
        <v>0.72250000000000003</v>
      </c>
      <c r="Q293" s="12">
        <v>0.72250000000000003</v>
      </c>
      <c r="R293" s="12"/>
      <c r="AE293" s="3"/>
    </row>
    <row r="294" spans="1:31">
      <c r="A294">
        <v>300</v>
      </c>
      <c r="B294">
        <v>1455</v>
      </c>
      <c r="P294" s="12">
        <v>0.72499999999999998</v>
      </c>
      <c r="Q294" s="12">
        <v>0.72499999999999998</v>
      </c>
      <c r="R294" s="12"/>
      <c r="AE294" s="3"/>
    </row>
    <row r="295" spans="1:31">
      <c r="A295">
        <v>301</v>
      </c>
      <c r="B295">
        <v>1460</v>
      </c>
      <c r="P295" s="12">
        <v>0.72750000000000004</v>
      </c>
      <c r="Q295" s="12">
        <v>0.72750000000000004</v>
      </c>
      <c r="R295" s="12"/>
      <c r="AE295" s="3"/>
    </row>
    <row r="296" spans="1:31">
      <c r="A296">
        <v>302</v>
      </c>
      <c r="B296">
        <v>1465</v>
      </c>
      <c r="P296" s="12">
        <v>0.73</v>
      </c>
      <c r="Q296" s="12">
        <v>0.73</v>
      </c>
      <c r="R296" s="12"/>
      <c r="AE296" s="3"/>
    </row>
    <row r="297" spans="1:31">
      <c r="A297">
        <v>303</v>
      </c>
      <c r="B297">
        <v>1470</v>
      </c>
      <c r="P297" s="12">
        <v>0.73250000000000004</v>
      </c>
      <c r="Q297" s="12">
        <v>0.73250000000000004</v>
      </c>
      <c r="R297" s="12"/>
      <c r="AE297" s="3"/>
    </row>
    <row r="298" spans="1:31">
      <c r="A298">
        <v>304</v>
      </c>
      <c r="B298">
        <v>1475</v>
      </c>
      <c r="P298" s="12">
        <v>0.73499999999999999</v>
      </c>
      <c r="Q298" s="12">
        <v>0.73499999999999999</v>
      </c>
      <c r="R298" s="12"/>
      <c r="AE298" s="3"/>
    </row>
    <row r="299" spans="1:31">
      <c r="A299">
        <v>305</v>
      </c>
      <c r="B299">
        <v>1480</v>
      </c>
      <c r="P299" s="12">
        <v>0.73750000000000004</v>
      </c>
      <c r="Q299" s="12">
        <v>0.73750000000000004</v>
      </c>
      <c r="R299" s="12"/>
      <c r="AE299" s="3"/>
    </row>
    <row r="300" spans="1:31">
      <c r="A300">
        <v>306</v>
      </c>
      <c r="B300">
        <v>1485</v>
      </c>
      <c r="P300" s="12">
        <v>0.74</v>
      </c>
      <c r="Q300" s="12">
        <v>0.74</v>
      </c>
      <c r="R300" s="12"/>
      <c r="AE300" s="3"/>
    </row>
    <row r="301" spans="1:31">
      <c r="A301">
        <v>307</v>
      </c>
      <c r="B301">
        <v>1490</v>
      </c>
      <c r="P301" s="12">
        <v>0.74250000000000005</v>
      </c>
      <c r="Q301" s="12">
        <v>0.74250000000000005</v>
      </c>
      <c r="R301" s="12"/>
      <c r="AE301" s="3"/>
    </row>
    <row r="302" spans="1:31">
      <c r="A302">
        <v>308</v>
      </c>
      <c r="B302">
        <v>1495</v>
      </c>
      <c r="P302" s="12">
        <v>0.745</v>
      </c>
      <c r="Q302" s="12">
        <v>0.745</v>
      </c>
      <c r="R302" s="12"/>
      <c r="AE302" s="3"/>
    </row>
    <row r="303" spans="1:31">
      <c r="A303">
        <v>309</v>
      </c>
      <c r="B303">
        <v>1500</v>
      </c>
      <c r="P303" s="12">
        <v>0.74750000000000005</v>
      </c>
      <c r="Q303" s="12">
        <v>0.74750000000000005</v>
      </c>
      <c r="R303" s="12"/>
      <c r="AE303" s="3"/>
    </row>
    <row r="304" spans="1:31">
      <c r="A304">
        <v>310</v>
      </c>
      <c r="B304">
        <v>1505</v>
      </c>
      <c r="P304" s="12">
        <v>0.75</v>
      </c>
      <c r="Q304" s="12">
        <v>0.75</v>
      </c>
      <c r="R304" s="12"/>
      <c r="AE304" s="3"/>
    </row>
    <row r="305" spans="1:31">
      <c r="A305">
        <v>311</v>
      </c>
      <c r="B305">
        <v>1510</v>
      </c>
      <c r="P305" s="12">
        <v>0.75249999999999995</v>
      </c>
      <c r="Q305" s="12">
        <v>0.75249999999999995</v>
      </c>
      <c r="R305" s="12"/>
      <c r="AE305" s="3"/>
    </row>
    <row r="306" spans="1:31">
      <c r="A306">
        <v>312</v>
      </c>
      <c r="B306">
        <v>1515</v>
      </c>
      <c r="P306" s="12">
        <v>0.755</v>
      </c>
      <c r="Q306" s="12">
        <v>0.755</v>
      </c>
      <c r="R306" s="12"/>
      <c r="AE306" s="3"/>
    </row>
    <row r="307" spans="1:31">
      <c r="A307">
        <v>313</v>
      </c>
      <c r="B307">
        <v>1520</v>
      </c>
      <c r="P307" s="12">
        <v>0.75749999999999995</v>
      </c>
      <c r="Q307" s="12">
        <v>0.75749999999999995</v>
      </c>
      <c r="R307" s="12"/>
      <c r="AE307" s="3"/>
    </row>
    <row r="308" spans="1:31">
      <c r="A308">
        <v>314</v>
      </c>
      <c r="B308">
        <v>1525</v>
      </c>
      <c r="P308" s="12">
        <v>0.76</v>
      </c>
      <c r="Q308" s="12">
        <v>0.76</v>
      </c>
      <c r="R308" s="12"/>
      <c r="AE308" s="3"/>
    </row>
    <row r="309" spans="1:31">
      <c r="A309">
        <v>315</v>
      </c>
      <c r="B309">
        <v>1530</v>
      </c>
      <c r="P309" s="12">
        <v>0.76249999999999996</v>
      </c>
      <c r="Q309" s="12">
        <v>0.76249999999999996</v>
      </c>
      <c r="R309" s="12"/>
      <c r="AE309" s="3"/>
    </row>
    <row r="310" spans="1:31">
      <c r="A310">
        <v>316</v>
      </c>
      <c r="B310">
        <v>1535</v>
      </c>
      <c r="P310" s="12">
        <v>0.76500000000000001</v>
      </c>
      <c r="Q310" s="12">
        <v>0.76500000000000001</v>
      </c>
      <c r="R310" s="12"/>
      <c r="AE310" s="3"/>
    </row>
    <row r="311" spans="1:31">
      <c r="A311">
        <v>317</v>
      </c>
      <c r="B311">
        <v>1540</v>
      </c>
      <c r="P311" s="12">
        <v>0.76749999999999996</v>
      </c>
      <c r="Q311" s="12">
        <v>0.76749999999999996</v>
      </c>
      <c r="R311" s="12"/>
      <c r="AE311" s="3"/>
    </row>
    <row r="312" spans="1:31">
      <c r="A312">
        <v>318</v>
      </c>
      <c r="B312">
        <v>1545</v>
      </c>
      <c r="P312" s="12">
        <v>0.77</v>
      </c>
      <c r="Q312" s="12">
        <v>0.77</v>
      </c>
      <c r="R312" s="12"/>
      <c r="AE312" s="3"/>
    </row>
    <row r="313" spans="1:31">
      <c r="A313">
        <v>319</v>
      </c>
      <c r="B313">
        <v>1550</v>
      </c>
      <c r="P313" s="12">
        <v>0.77249999999999996</v>
      </c>
      <c r="Q313" s="12">
        <v>0.77249999999999996</v>
      </c>
      <c r="R313" s="12"/>
      <c r="AE313" s="3"/>
    </row>
    <row r="314" spans="1:31">
      <c r="A314">
        <v>320</v>
      </c>
      <c r="B314">
        <v>1555</v>
      </c>
      <c r="P314" s="12">
        <v>0.77500000000000002</v>
      </c>
      <c r="Q314" s="12">
        <v>0.77500000000000002</v>
      </c>
      <c r="R314" s="12"/>
      <c r="AE314" s="3"/>
    </row>
    <row r="315" spans="1:31">
      <c r="A315">
        <v>321</v>
      </c>
      <c r="B315">
        <v>1560</v>
      </c>
      <c r="P315" s="12">
        <v>0.77749999999999997</v>
      </c>
      <c r="Q315" s="12">
        <v>0.77749999999999997</v>
      </c>
      <c r="R315" s="12"/>
      <c r="AE315" s="3"/>
    </row>
    <row r="316" spans="1:31">
      <c r="A316">
        <v>322</v>
      </c>
      <c r="B316">
        <v>1565</v>
      </c>
      <c r="P316" s="12">
        <v>0.78</v>
      </c>
      <c r="Q316" s="12">
        <v>0.78</v>
      </c>
      <c r="R316" s="12"/>
      <c r="AE316" s="3"/>
    </row>
    <row r="317" spans="1:31">
      <c r="A317">
        <v>323</v>
      </c>
      <c r="B317">
        <v>1570</v>
      </c>
      <c r="P317" s="12">
        <v>0.78249999999999997</v>
      </c>
      <c r="Q317" s="12">
        <v>0.78249999999999997</v>
      </c>
      <c r="R317" s="12"/>
      <c r="AE317" s="3"/>
    </row>
    <row r="318" spans="1:31">
      <c r="A318">
        <v>324</v>
      </c>
      <c r="B318">
        <v>1575</v>
      </c>
      <c r="P318" s="12">
        <v>0.78500000000000003</v>
      </c>
      <c r="Q318" s="12">
        <v>0.78500000000000003</v>
      </c>
      <c r="R318" s="12"/>
      <c r="AE318" s="3"/>
    </row>
    <row r="319" spans="1:31">
      <c r="A319">
        <v>325</v>
      </c>
      <c r="B319">
        <v>1580</v>
      </c>
      <c r="P319" s="12">
        <v>0.78749999999999998</v>
      </c>
      <c r="Q319" s="12">
        <v>0.78749999999999998</v>
      </c>
      <c r="R319" s="12"/>
      <c r="AE319" s="3"/>
    </row>
    <row r="320" spans="1:31">
      <c r="A320">
        <v>326</v>
      </c>
      <c r="B320">
        <v>1585</v>
      </c>
      <c r="P320" s="12">
        <v>0.79</v>
      </c>
      <c r="Q320" s="12">
        <v>0.79</v>
      </c>
      <c r="R320" s="12"/>
      <c r="AE320" s="3"/>
    </row>
    <row r="321" spans="1:31">
      <c r="A321">
        <v>327</v>
      </c>
      <c r="B321">
        <v>1590</v>
      </c>
      <c r="P321" s="12">
        <v>0.79249999999999998</v>
      </c>
      <c r="Q321" s="12">
        <v>0.79249999999999998</v>
      </c>
      <c r="R321" s="12"/>
      <c r="AE321" s="3"/>
    </row>
    <row r="322" spans="1:31">
      <c r="A322">
        <v>328</v>
      </c>
      <c r="B322">
        <v>1595</v>
      </c>
      <c r="P322" s="12">
        <v>0.79500000000000004</v>
      </c>
      <c r="Q322" s="12">
        <v>0.79500000000000004</v>
      </c>
      <c r="R322" s="12"/>
      <c r="AE322" s="3"/>
    </row>
    <row r="323" spans="1:31">
      <c r="A323">
        <v>329</v>
      </c>
      <c r="B323">
        <v>1600</v>
      </c>
      <c r="P323" s="12">
        <v>0.79749999999999999</v>
      </c>
      <c r="Q323" s="12">
        <v>0.79749999999999999</v>
      </c>
      <c r="R323" s="12"/>
      <c r="AE323" s="3"/>
    </row>
    <row r="324" spans="1:31">
      <c r="A324">
        <v>330</v>
      </c>
      <c r="B324">
        <v>1605</v>
      </c>
      <c r="P324" s="12">
        <v>0.8</v>
      </c>
      <c r="Q324" s="12">
        <v>0.8</v>
      </c>
      <c r="R324" s="12"/>
      <c r="AE324" s="3"/>
    </row>
    <row r="325" spans="1:31">
      <c r="A325">
        <v>331</v>
      </c>
      <c r="B325">
        <v>1610</v>
      </c>
      <c r="P325" s="12">
        <v>0.80249999999999999</v>
      </c>
      <c r="Q325" s="12">
        <v>0.80249999999999999</v>
      </c>
      <c r="R325" s="12"/>
      <c r="AE325" s="3"/>
    </row>
    <row r="326" spans="1:31">
      <c r="A326">
        <v>332</v>
      </c>
      <c r="B326">
        <v>1615</v>
      </c>
      <c r="P326" s="12">
        <v>0.80500000000000005</v>
      </c>
      <c r="Q326" s="12">
        <v>0.80500000000000005</v>
      </c>
      <c r="R326" s="12"/>
      <c r="AE326" s="3"/>
    </row>
    <row r="327" spans="1:31">
      <c r="A327">
        <v>333</v>
      </c>
      <c r="B327">
        <v>1620</v>
      </c>
      <c r="P327" s="12">
        <v>0.8075</v>
      </c>
      <c r="Q327" s="12">
        <v>0.8075</v>
      </c>
      <c r="R327" s="12"/>
      <c r="AE327" s="3"/>
    </row>
    <row r="328" spans="1:31">
      <c r="A328">
        <v>334</v>
      </c>
      <c r="B328">
        <v>1625</v>
      </c>
      <c r="P328" s="12">
        <v>0.81</v>
      </c>
      <c r="Q328" s="12">
        <v>0.81</v>
      </c>
      <c r="R328" s="12"/>
      <c r="AE328" s="3"/>
    </row>
    <row r="329" spans="1:31">
      <c r="A329">
        <v>335</v>
      </c>
      <c r="B329">
        <v>1630</v>
      </c>
      <c r="P329" s="12">
        <v>0.8125</v>
      </c>
      <c r="Q329" s="12">
        <v>0.8125</v>
      </c>
      <c r="R329" s="12"/>
      <c r="AE329" s="3"/>
    </row>
    <row r="330" spans="1:31">
      <c r="A330">
        <v>336</v>
      </c>
      <c r="B330">
        <v>1635</v>
      </c>
      <c r="P330" s="12">
        <v>0.81499999999999995</v>
      </c>
      <c r="Q330" s="12">
        <v>0.81499999999999995</v>
      </c>
      <c r="R330" s="12"/>
      <c r="AE330" s="3"/>
    </row>
    <row r="331" spans="1:31">
      <c r="A331">
        <v>337</v>
      </c>
      <c r="B331">
        <v>1640</v>
      </c>
      <c r="P331" s="12">
        <v>0.8175</v>
      </c>
      <c r="Q331" s="12">
        <v>0.8175</v>
      </c>
      <c r="R331" s="12"/>
      <c r="AE331" s="3"/>
    </row>
    <row r="332" spans="1:31">
      <c r="A332">
        <v>338</v>
      </c>
      <c r="B332">
        <v>1645</v>
      </c>
      <c r="P332" s="12">
        <v>0.82</v>
      </c>
      <c r="Q332" s="12">
        <v>0.82</v>
      </c>
      <c r="R332" s="12"/>
      <c r="AE332" s="3"/>
    </row>
    <row r="333" spans="1:31">
      <c r="A333">
        <v>339</v>
      </c>
      <c r="B333">
        <v>1650</v>
      </c>
      <c r="P333" s="12">
        <v>0.82250000000000001</v>
      </c>
      <c r="Q333" s="12">
        <v>0.82250000000000001</v>
      </c>
      <c r="R333" s="12"/>
      <c r="AE333" s="3"/>
    </row>
    <row r="334" spans="1:31">
      <c r="A334">
        <v>340</v>
      </c>
      <c r="B334">
        <v>1655</v>
      </c>
      <c r="P334" s="12">
        <v>0.82499999999999996</v>
      </c>
      <c r="Q334" s="12">
        <v>0.82499999999999996</v>
      </c>
      <c r="R334" s="12"/>
      <c r="AE334" s="3"/>
    </row>
    <row r="335" spans="1:31">
      <c r="A335">
        <v>341</v>
      </c>
      <c r="B335">
        <v>1660</v>
      </c>
      <c r="P335" s="12">
        <v>0.82750000000000001</v>
      </c>
      <c r="Q335" s="12">
        <v>0.82750000000000001</v>
      </c>
      <c r="R335" s="12"/>
      <c r="AE335" s="3"/>
    </row>
    <row r="336" spans="1:31">
      <c r="A336">
        <v>342</v>
      </c>
      <c r="B336">
        <v>1665</v>
      </c>
      <c r="P336" s="12">
        <v>0.83</v>
      </c>
      <c r="Q336" s="12">
        <v>0.83</v>
      </c>
      <c r="R336" s="12"/>
      <c r="AE336" s="3"/>
    </row>
    <row r="337" spans="1:31">
      <c r="A337">
        <v>343</v>
      </c>
      <c r="B337">
        <v>1670</v>
      </c>
      <c r="P337" s="12">
        <v>0.83250000000000002</v>
      </c>
      <c r="Q337" s="12">
        <v>0.83250000000000002</v>
      </c>
      <c r="R337" s="12"/>
      <c r="AE337" s="3"/>
    </row>
    <row r="338" spans="1:31">
      <c r="A338">
        <v>344</v>
      </c>
      <c r="B338">
        <v>1675</v>
      </c>
      <c r="P338" s="12">
        <v>0.83499999999999996</v>
      </c>
      <c r="Q338" s="12">
        <v>0.83499999999999996</v>
      </c>
      <c r="R338" s="12"/>
      <c r="AE338" s="3"/>
    </row>
    <row r="339" spans="1:31">
      <c r="A339">
        <v>345</v>
      </c>
      <c r="B339">
        <v>1680</v>
      </c>
      <c r="P339" s="12">
        <v>0.83750000000000002</v>
      </c>
      <c r="Q339" s="12">
        <v>0.83750000000000002</v>
      </c>
      <c r="R339" s="12"/>
      <c r="AE339" s="3"/>
    </row>
    <row r="340" spans="1:31">
      <c r="A340">
        <v>346</v>
      </c>
      <c r="B340">
        <v>1685</v>
      </c>
      <c r="P340" s="12">
        <v>0.84</v>
      </c>
      <c r="Q340" s="12">
        <v>0.84</v>
      </c>
      <c r="R340" s="12"/>
      <c r="AE340" s="3"/>
    </row>
    <row r="341" spans="1:31">
      <c r="A341">
        <v>347</v>
      </c>
      <c r="B341">
        <v>1690</v>
      </c>
      <c r="P341" s="12">
        <v>0.84250000000000003</v>
      </c>
      <c r="Q341" s="12">
        <v>0.84250000000000003</v>
      </c>
      <c r="R341" s="12"/>
      <c r="AE341" s="3"/>
    </row>
    <row r="342" spans="1:31">
      <c r="A342">
        <v>348</v>
      </c>
      <c r="B342">
        <v>1695</v>
      </c>
      <c r="P342" s="12">
        <v>0.84499999999999997</v>
      </c>
      <c r="Q342" s="12">
        <v>0.84499999999999997</v>
      </c>
      <c r="R342" s="12"/>
      <c r="AE342" s="3"/>
    </row>
    <row r="343" spans="1:31">
      <c r="A343">
        <v>349</v>
      </c>
      <c r="B343">
        <v>1700</v>
      </c>
      <c r="P343" s="12">
        <v>0.84750000000000003</v>
      </c>
      <c r="Q343" s="12">
        <v>0.84750000000000003</v>
      </c>
      <c r="R343" s="12"/>
      <c r="AE343" s="3"/>
    </row>
    <row r="344" spans="1:31">
      <c r="A344">
        <v>350</v>
      </c>
      <c r="B344">
        <v>1705</v>
      </c>
      <c r="P344" s="12">
        <v>0.85</v>
      </c>
      <c r="Q344" s="12">
        <v>0.85</v>
      </c>
      <c r="R344" s="12"/>
      <c r="AE344" s="3"/>
    </row>
    <row r="345" spans="1:31">
      <c r="A345">
        <v>351</v>
      </c>
      <c r="B345">
        <v>1710</v>
      </c>
      <c r="P345" s="12">
        <v>0.85250000000000004</v>
      </c>
      <c r="Q345" s="12">
        <v>0.85250000000000004</v>
      </c>
      <c r="R345" s="12"/>
      <c r="AE345" s="3"/>
    </row>
    <row r="346" spans="1:31">
      <c r="A346">
        <v>352</v>
      </c>
      <c r="B346">
        <v>1715</v>
      </c>
      <c r="P346" s="12">
        <v>0.85499999999999998</v>
      </c>
      <c r="Q346" s="12">
        <v>0.85499999999999998</v>
      </c>
      <c r="R346" s="12"/>
      <c r="AE346" s="3"/>
    </row>
    <row r="347" spans="1:31">
      <c r="A347">
        <v>353</v>
      </c>
      <c r="B347">
        <v>1720</v>
      </c>
      <c r="P347" s="12">
        <v>0.85750000000000004</v>
      </c>
      <c r="Q347" s="12">
        <v>0.85750000000000004</v>
      </c>
      <c r="R347" s="12"/>
      <c r="AE347" s="3"/>
    </row>
    <row r="348" spans="1:31">
      <c r="A348">
        <v>354</v>
      </c>
      <c r="B348">
        <v>1725</v>
      </c>
      <c r="P348" s="12">
        <v>0.86</v>
      </c>
      <c r="Q348" s="12">
        <v>0.86</v>
      </c>
      <c r="R348" s="12"/>
      <c r="AE348" s="3"/>
    </row>
    <row r="349" spans="1:31">
      <c r="A349">
        <v>355</v>
      </c>
      <c r="B349">
        <v>1730</v>
      </c>
      <c r="P349" s="12">
        <v>0.86250000000000004</v>
      </c>
      <c r="Q349" s="12">
        <v>0.86250000000000004</v>
      </c>
      <c r="R349" s="12"/>
      <c r="AE349" s="3"/>
    </row>
    <row r="350" spans="1:31">
      <c r="A350">
        <v>356</v>
      </c>
      <c r="B350">
        <v>1735</v>
      </c>
      <c r="P350" s="12">
        <v>0.86499999999999999</v>
      </c>
      <c r="Q350" s="12">
        <v>0.86499999999999999</v>
      </c>
      <c r="R350" s="12"/>
      <c r="AE350" s="3"/>
    </row>
    <row r="351" spans="1:31">
      <c r="A351">
        <v>357</v>
      </c>
      <c r="B351">
        <v>1740</v>
      </c>
      <c r="P351" s="12">
        <v>0.86750000000000005</v>
      </c>
      <c r="Q351" s="12">
        <v>0.86750000000000005</v>
      </c>
      <c r="R351" s="12"/>
      <c r="AE351" s="3"/>
    </row>
    <row r="352" spans="1:31">
      <c r="A352">
        <v>358</v>
      </c>
      <c r="B352">
        <v>1745</v>
      </c>
      <c r="P352" s="12">
        <v>0.87</v>
      </c>
      <c r="Q352" s="12">
        <v>0.87</v>
      </c>
      <c r="R352" s="12"/>
      <c r="AE352" s="3"/>
    </row>
    <row r="353" spans="1:31">
      <c r="A353">
        <v>359</v>
      </c>
      <c r="B353">
        <v>1750</v>
      </c>
      <c r="P353" s="12">
        <v>0.87250000000000005</v>
      </c>
      <c r="Q353" s="12">
        <v>0.87250000000000005</v>
      </c>
      <c r="R353" s="12"/>
      <c r="AE353" s="3"/>
    </row>
    <row r="354" spans="1:31">
      <c r="A354">
        <v>360</v>
      </c>
      <c r="B354">
        <v>1755</v>
      </c>
      <c r="P354" s="12">
        <v>0.875</v>
      </c>
      <c r="Q354" s="12">
        <v>0.875</v>
      </c>
      <c r="R354" s="12"/>
      <c r="AE354" s="3"/>
    </row>
    <row r="355" spans="1:31">
      <c r="A355">
        <v>361</v>
      </c>
      <c r="B355">
        <v>1760</v>
      </c>
      <c r="P355" s="12">
        <v>0.87749999999999995</v>
      </c>
      <c r="Q355" s="12">
        <v>0.87749999999999995</v>
      </c>
      <c r="R355" s="12"/>
      <c r="AE355" s="3"/>
    </row>
    <row r="356" spans="1:31">
      <c r="A356">
        <v>362</v>
      </c>
      <c r="B356">
        <v>1765</v>
      </c>
      <c r="P356" s="12">
        <v>0.88</v>
      </c>
      <c r="Q356" s="12">
        <v>0.88</v>
      </c>
      <c r="R356" s="12"/>
      <c r="AE356" s="3"/>
    </row>
    <row r="357" spans="1:31">
      <c r="A357">
        <v>363</v>
      </c>
      <c r="B357">
        <v>1770</v>
      </c>
      <c r="P357" s="12">
        <v>0.88249999999999995</v>
      </c>
      <c r="Q357" s="12">
        <v>0.88249999999999995</v>
      </c>
      <c r="R357" s="12"/>
      <c r="AE357" s="3"/>
    </row>
    <row r="358" spans="1:31">
      <c r="A358">
        <v>364</v>
      </c>
      <c r="B358">
        <v>1775</v>
      </c>
      <c r="P358" s="12">
        <v>0.88500000000000001</v>
      </c>
      <c r="Q358" s="12">
        <v>0.88500000000000001</v>
      </c>
      <c r="R358" s="12"/>
      <c r="AE358" s="3"/>
    </row>
    <row r="359" spans="1:31">
      <c r="A359">
        <v>365</v>
      </c>
      <c r="B359">
        <v>1780</v>
      </c>
      <c r="P359" s="12">
        <v>0.88749999999999996</v>
      </c>
      <c r="Q359" s="12">
        <v>0.88749999999999996</v>
      </c>
      <c r="R359" s="12"/>
      <c r="AE359" s="3"/>
    </row>
    <row r="360" spans="1:31">
      <c r="A360">
        <v>366</v>
      </c>
      <c r="B360">
        <v>1785</v>
      </c>
      <c r="P360" s="12">
        <v>0.89</v>
      </c>
      <c r="Q360" s="12">
        <v>0.89</v>
      </c>
      <c r="R360" s="12"/>
      <c r="AE360" s="3"/>
    </row>
    <row r="361" spans="1:31">
      <c r="A361">
        <v>367</v>
      </c>
      <c r="B361">
        <v>1790</v>
      </c>
      <c r="P361" s="12">
        <v>0.89249999999999996</v>
      </c>
      <c r="Q361" s="12">
        <v>0.89249999999999996</v>
      </c>
      <c r="R361" s="12"/>
      <c r="AE361" s="3"/>
    </row>
    <row r="362" spans="1:31">
      <c r="A362">
        <v>368</v>
      </c>
      <c r="B362">
        <v>1795</v>
      </c>
      <c r="P362" s="12">
        <v>0.89500000000000002</v>
      </c>
      <c r="Q362" s="12">
        <v>0.89500000000000002</v>
      </c>
      <c r="R362" s="12"/>
      <c r="AE362" s="3"/>
    </row>
    <row r="363" spans="1:31">
      <c r="A363">
        <v>369</v>
      </c>
      <c r="B363">
        <v>1800</v>
      </c>
      <c r="P363" s="12">
        <v>0.89749999999999996</v>
      </c>
      <c r="Q363" s="12">
        <v>0.89749999999999996</v>
      </c>
      <c r="R363" s="12"/>
      <c r="AE363" s="3"/>
    </row>
    <row r="364" spans="1:31">
      <c r="A364">
        <v>370</v>
      </c>
      <c r="B364">
        <v>1805</v>
      </c>
      <c r="P364" s="12">
        <v>0.9</v>
      </c>
      <c r="Q364" s="12">
        <v>0.9</v>
      </c>
      <c r="R364" s="12"/>
      <c r="AE364" s="3"/>
    </row>
    <row r="365" spans="1:31">
      <c r="A365">
        <v>371</v>
      </c>
      <c r="B365">
        <v>1810</v>
      </c>
      <c r="P365" s="12">
        <v>0.90249999999999997</v>
      </c>
      <c r="Q365" s="12">
        <v>0.90249999999999997</v>
      </c>
      <c r="R365" s="12"/>
      <c r="AE365" s="3"/>
    </row>
    <row r="366" spans="1:31">
      <c r="A366">
        <v>372</v>
      </c>
      <c r="B366">
        <v>1815</v>
      </c>
      <c r="P366" s="12">
        <v>0.90500000000000003</v>
      </c>
      <c r="Q366" s="12">
        <v>0.90500000000000003</v>
      </c>
      <c r="R366" s="12"/>
      <c r="AE366" s="3"/>
    </row>
    <row r="367" spans="1:31">
      <c r="A367">
        <v>373</v>
      </c>
      <c r="B367">
        <v>1820</v>
      </c>
      <c r="P367" s="12">
        <v>0.90749999999999997</v>
      </c>
      <c r="Q367" s="12">
        <v>0.90749999999999997</v>
      </c>
      <c r="R367" s="12"/>
      <c r="AE367" s="3"/>
    </row>
    <row r="368" spans="1:31">
      <c r="A368">
        <v>374</v>
      </c>
      <c r="B368">
        <v>1825</v>
      </c>
      <c r="P368" s="12">
        <v>0.91</v>
      </c>
      <c r="Q368" s="12">
        <v>0.91</v>
      </c>
      <c r="R368" s="12"/>
      <c r="AE368" s="3"/>
    </row>
    <row r="369" spans="1:31">
      <c r="A369">
        <v>375</v>
      </c>
      <c r="B369">
        <v>1830</v>
      </c>
      <c r="P369" s="12">
        <v>0.91249999999999998</v>
      </c>
      <c r="Q369" s="12">
        <v>0.91249999999999998</v>
      </c>
      <c r="R369" s="12"/>
      <c r="AE369" s="3"/>
    </row>
    <row r="370" spans="1:31">
      <c r="A370">
        <v>376</v>
      </c>
      <c r="B370">
        <v>1835</v>
      </c>
      <c r="P370" s="12">
        <v>0.91500000000000004</v>
      </c>
      <c r="Q370" s="12">
        <v>0.91500000000000004</v>
      </c>
      <c r="R370" s="12"/>
      <c r="AE370" s="3"/>
    </row>
    <row r="371" spans="1:31">
      <c r="A371">
        <v>377</v>
      </c>
      <c r="B371">
        <v>1840</v>
      </c>
      <c r="P371" s="12">
        <v>0.91749999999999998</v>
      </c>
      <c r="Q371" s="12">
        <v>0.91749999999999998</v>
      </c>
      <c r="R371" s="12"/>
      <c r="AE371" s="3"/>
    </row>
    <row r="372" spans="1:31">
      <c r="A372">
        <v>378</v>
      </c>
      <c r="B372">
        <v>1845</v>
      </c>
      <c r="P372" s="12">
        <v>0.92</v>
      </c>
      <c r="Q372" s="12">
        <v>0.92</v>
      </c>
      <c r="R372" s="12"/>
      <c r="AE372" s="3"/>
    </row>
    <row r="373" spans="1:31">
      <c r="A373">
        <v>379</v>
      </c>
      <c r="B373">
        <v>1850</v>
      </c>
      <c r="P373" s="12">
        <v>0.92249999999999999</v>
      </c>
      <c r="Q373" s="12">
        <v>0.92249999999999999</v>
      </c>
      <c r="R373" s="12"/>
      <c r="AE373" s="3"/>
    </row>
    <row r="374" spans="1:31">
      <c r="A374">
        <v>380</v>
      </c>
      <c r="B374">
        <v>1855</v>
      </c>
      <c r="P374" s="12">
        <v>0.92500000000000004</v>
      </c>
      <c r="Q374" s="12">
        <v>0.92500000000000004</v>
      </c>
      <c r="R374" s="12"/>
      <c r="AE374" s="3"/>
    </row>
    <row r="375" spans="1:31">
      <c r="A375">
        <v>381</v>
      </c>
      <c r="B375">
        <v>1860</v>
      </c>
      <c r="P375" s="12">
        <v>0.92749999999999999</v>
      </c>
      <c r="Q375" s="12">
        <v>0.92749999999999999</v>
      </c>
      <c r="R375" s="12"/>
      <c r="AE375" s="3"/>
    </row>
    <row r="376" spans="1:31">
      <c r="A376">
        <v>382</v>
      </c>
      <c r="B376">
        <v>1865</v>
      </c>
      <c r="P376" s="12">
        <v>0.93</v>
      </c>
      <c r="Q376" s="12">
        <v>0.93</v>
      </c>
      <c r="R376" s="12"/>
      <c r="AE376" s="3"/>
    </row>
    <row r="377" spans="1:31">
      <c r="A377">
        <v>383</v>
      </c>
      <c r="B377">
        <v>1870</v>
      </c>
      <c r="P377" s="12">
        <v>0.9325</v>
      </c>
      <c r="Q377" s="12">
        <v>0.9325</v>
      </c>
      <c r="R377" s="12"/>
      <c r="AE377" s="3"/>
    </row>
    <row r="378" spans="1:31">
      <c r="A378">
        <v>384</v>
      </c>
      <c r="B378">
        <v>1875</v>
      </c>
      <c r="P378" s="12">
        <v>0.93500000000000005</v>
      </c>
      <c r="Q378" s="12">
        <v>0.93500000000000005</v>
      </c>
      <c r="R378" s="12"/>
      <c r="AE378" s="3"/>
    </row>
    <row r="379" spans="1:31">
      <c r="A379">
        <v>385</v>
      </c>
      <c r="B379">
        <v>1880</v>
      </c>
      <c r="P379" s="12">
        <v>0.9375</v>
      </c>
      <c r="Q379" s="12">
        <v>0.9375</v>
      </c>
      <c r="R379" s="12"/>
      <c r="AE379" s="3"/>
    </row>
    <row r="380" spans="1:31">
      <c r="A380">
        <v>386</v>
      </c>
      <c r="B380">
        <v>1885</v>
      </c>
      <c r="P380" s="12">
        <v>0.94</v>
      </c>
      <c r="Q380" s="12">
        <v>0.94</v>
      </c>
      <c r="R380" s="12"/>
      <c r="AE380" s="3"/>
    </row>
    <row r="381" spans="1:31">
      <c r="A381">
        <v>387</v>
      </c>
      <c r="B381">
        <v>1890</v>
      </c>
      <c r="P381" s="12">
        <v>0.9425</v>
      </c>
      <c r="Q381" s="12">
        <v>0.9425</v>
      </c>
      <c r="R381" s="12"/>
      <c r="AE381" s="3"/>
    </row>
    <row r="382" spans="1:31">
      <c r="A382">
        <v>388</v>
      </c>
      <c r="B382">
        <v>1895</v>
      </c>
      <c r="P382" s="12">
        <v>0.94499999999999995</v>
      </c>
      <c r="Q382" s="12">
        <v>0.94499999999999995</v>
      </c>
      <c r="R382" s="12"/>
      <c r="AE382" s="3"/>
    </row>
    <row r="383" spans="1:31">
      <c r="A383">
        <v>389</v>
      </c>
      <c r="B383">
        <v>1900</v>
      </c>
      <c r="P383" s="12">
        <v>0.94750000000000001</v>
      </c>
      <c r="Q383" s="12">
        <v>0.94750000000000001</v>
      </c>
      <c r="R383" s="12"/>
      <c r="AE383" s="3"/>
    </row>
    <row r="384" spans="1:31">
      <c r="A384">
        <v>390</v>
      </c>
      <c r="B384">
        <v>1905</v>
      </c>
      <c r="P384" s="12">
        <v>0.95</v>
      </c>
      <c r="Q384" s="12">
        <v>0.95</v>
      </c>
      <c r="R384" s="12"/>
      <c r="AE384" s="3"/>
    </row>
    <row r="385" spans="1:31">
      <c r="A385">
        <v>391</v>
      </c>
      <c r="B385">
        <v>1910</v>
      </c>
      <c r="P385" s="12">
        <v>0.95250000000000001</v>
      </c>
      <c r="Q385" s="12">
        <v>0.95250000000000001</v>
      </c>
      <c r="R385" s="12"/>
      <c r="AE385" s="3"/>
    </row>
    <row r="386" spans="1:31">
      <c r="A386">
        <v>392</v>
      </c>
      <c r="B386">
        <v>1915</v>
      </c>
      <c r="P386" s="12">
        <v>0.95499999999999996</v>
      </c>
      <c r="Q386" s="12">
        <v>0.95499999999999996</v>
      </c>
      <c r="R386" s="12"/>
      <c r="AE386" s="3"/>
    </row>
    <row r="387" spans="1:31">
      <c r="A387">
        <v>393</v>
      </c>
      <c r="B387">
        <v>1920</v>
      </c>
      <c r="P387" s="12">
        <v>0.95750000000000002</v>
      </c>
      <c r="Q387" s="12">
        <v>0.95750000000000002</v>
      </c>
      <c r="R387" s="12"/>
      <c r="AE387" s="3"/>
    </row>
    <row r="388" spans="1:31">
      <c r="A388">
        <v>394</v>
      </c>
      <c r="B388">
        <v>1925</v>
      </c>
      <c r="P388" s="12">
        <v>0.96</v>
      </c>
      <c r="Q388" s="12">
        <v>0.96</v>
      </c>
      <c r="R388" s="12"/>
      <c r="AE388" s="3"/>
    </row>
    <row r="389" spans="1:31">
      <c r="A389">
        <v>395</v>
      </c>
      <c r="B389">
        <v>1930</v>
      </c>
      <c r="P389" s="12">
        <v>0.96250000000000002</v>
      </c>
      <c r="Q389" s="12">
        <v>0.96250000000000002</v>
      </c>
      <c r="R389" s="12"/>
      <c r="AE389" s="3"/>
    </row>
    <row r="390" spans="1:31">
      <c r="A390">
        <v>396</v>
      </c>
      <c r="B390">
        <v>1935</v>
      </c>
      <c r="P390" s="12">
        <v>0.96499999999999997</v>
      </c>
      <c r="Q390" s="12">
        <v>0.96499999999999997</v>
      </c>
      <c r="R390" s="12"/>
      <c r="AE390" s="3"/>
    </row>
    <row r="391" spans="1:31">
      <c r="A391">
        <v>397</v>
      </c>
      <c r="B391">
        <v>1940</v>
      </c>
      <c r="P391" s="12">
        <v>0.96750000000000003</v>
      </c>
      <c r="Q391" s="12">
        <v>0.96750000000000003</v>
      </c>
      <c r="R391" s="12"/>
      <c r="AE391" s="3"/>
    </row>
    <row r="392" spans="1:31">
      <c r="A392">
        <v>398</v>
      </c>
      <c r="B392">
        <v>1945</v>
      </c>
      <c r="P392" s="12">
        <v>0.97</v>
      </c>
      <c r="Q392" s="12">
        <v>0.97</v>
      </c>
      <c r="R392" s="12"/>
      <c r="AE392" s="3"/>
    </row>
    <row r="393" spans="1:31">
      <c r="A393">
        <v>399</v>
      </c>
      <c r="B393">
        <v>1950</v>
      </c>
      <c r="P393" s="12">
        <v>0.97250000000000003</v>
      </c>
      <c r="Q393" s="12">
        <v>0.97250000000000003</v>
      </c>
      <c r="R393" s="12"/>
      <c r="AE393" s="3"/>
    </row>
    <row r="394" spans="1:31">
      <c r="A394">
        <v>400</v>
      </c>
      <c r="B394">
        <v>1955</v>
      </c>
      <c r="P394" s="12">
        <v>0.97499999999999998</v>
      </c>
      <c r="Q394" s="12">
        <v>0.97499999999999998</v>
      </c>
      <c r="R394" s="12"/>
      <c r="AE394" s="3"/>
    </row>
    <row r="395" spans="1:31">
      <c r="A395">
        <v>401</v>
      </c>
      <c r="B395">
        <v>1960</v>
      </c>
      <c r="P395" s="12">
        <v>0.97750000000000004</v>
      </c>
      <c r="Q395" s="12">
        <v>0.97750000000000004</v>
      </c>
      <c r="R395" s="12"/>
      <c r="AE395" s="3"/>
    </row>
    <row r="396" spans="1:31">
      <c r="A396">
        <v>402</v>
      </c>
      <c r="B396">
        <v>1965</v>
      </c>
      <c r="P396" s="12">
        <v>0.98</v>
      </c>
      <c r="Q396" s="12">
        <v>0.98</v>
      </c>
      <c r="R396" s="12"/>
      <c r="AE396" s="3"/>
    </row>
    <row r="397" spans="1:31">
      <c r="A397">
        <v>403</v>
      </c>
      <c r="B397">
        <v>1970</v>
      </c>
      <c r="P397" s="12">
        <v>0.98250000000000004</v>
      </c>
      <c r="Q397" s="12">
        <v>0.98250000000000004</v>
      </c>
      <c r="R397" s="12"/>
      <c r="AE397" s="3"/>
    </row>
    <row r="398" spans="1:31">
      <c r="A398">
        <v>404</v>
      </c>
      <c r="B398">
        <v>1975</v>
      </c>
      <c r="P398" s="12">
        <v>0.98499999999999999</v>
      </c>
      <c r="Q398" s="12">
        <v>0.98499999999999999</v>
      </c>
      <c r="R398" s="12"/>
      <c r="AE398" s="3"/>
    </row>
    <row r="399" spans="1:31">
      <c r="A399">
        <v>405</v>
      </c>
      <c r="B399">
        <v>1980</v>
      </c>
      <c r="P399" s="12">
        <v>0.98750000000000004</v>
      </c>
      <c r="Q399" s="12">
        <v>0.98750000000000004</v>
      </c>
      <c r="R399" s="12"/>
      <c r="AE399" s="3"/>
    </row>
    <row r="400" spans="1:31">
      <c r="A400">
        <v>406</v>
      </c>
      <c r="B400">
        <v>1985</v>
      </c>
      <c r="P400" s="12">
        <v>0.99</v>
      </c>
      <c r="Q400" s="12">
        <v>0.99</v>
      </c>
      <c r="R400" s="12"/>
      <c r="AE400" s="3"/>
    </row>
    <row r="401" spans="1:31">
      <c r="A401">
        <v>407</v>
      </c>
      <c r="B401">
        <v>1990</v>
      </c>
      <c r="P401" s="12">
        <v>0.99250000000000005</v>
      </c>
      <c r="Q401" s="12">
        <v>0.99250000000000005</v>
      </c>
      <c r="R401" s="12"/>
      <c r="AE401" s="3"/>
    </row>
    <row r="402" spans="1:31">
      <c r="A402">
        <v>408</v>
      </c>
      <c r="B402">
        <v>1995</v>
      </c>
      <c r="P402" s="12">
        <v>0.995</v>
      </c>
      <c r="Q402" s="12">
        <v>0.995</v>
      </c>
      <c r="R402" s="12"/>
      <c r="AE402" s="3"/>
    </row>
    <row r="403" spans="1:31">
      <c r="A403">
        <v>409</v>
      </c>
      <c r="B403">
        <v>2000</v>
      </c>
      <c r="P403" s="12">
        <v>0.99750000000000005</v>
      </c>
      <c r="Q403" s="12">
        <v>0.99750000000000005</v>
      </c>
      <c r="R403" s="12"/>
      <c r="AE403" s="3"/>
    </row>
    <row r="404" spans="1:31">
      <c r="A404">
        <v>410</v>
      </c>
      <c r="B404">
        <v>2005</v>
      </c>
      <c r="P404" s="12">
        <v>1</v>
      </c>
      <c r="Q404" s="12">
        <v>1</v>
      </c>
      <c r="R404" s="12"/>
      <c r="AE404" s="3"/>
    </row>
    <row r="405" spans="1:31">
      <c r="A405">
        <v>411</v>
      </c>
      <c r="B405">
        <v>2010</v>
      </c>
      <c r="P405" s="12"/>
      <c r="Q405" s="12"/>
      <c r="R405" s="12"/>
      <c r="AE405" s="3"/>
    </row>
    <row r="406" spans="1:31">
      <c r="A406">
        <v>412</v>
      </c>
      <c r="B406">
        <v>2015</v>
      </c>
      <c r="P406" s="12"/>
      <c r="Q406" s="12"/>
      <c r="R406" s="12"/>
      <c r="AE406" s="3"/>
    </row>
    <row r="407" spans="1:31">
      <c r="A407">
        <v>413</v>
      </c>
      <c r="B407">
        <v>2020</v>
      </c>
      <c r="P407" s="12"/>
      <c r="Q407" s="12"/>
      <c r="R407" s="12"/>
      <c r="AE407" s="3"/>
    </row>
    <row r="408" spans="1:31">
      <c r="A408">
        <v>414</v>
      </c>
      <c r="B408">
        <v>2025</v>
      </c>
      <c r="P408" s="12"/>
      <c r="Q408" s="12"/>
      <c r="R408" s="12"/>
      <c r="AE408" s="3"/>
    </row>
    <row r="409" spans="1:31">
      <c r="A409">
        <v>415</v>
      </c>
      <c r="B409">
        <v>2030</v>
      </c>
      <c r="P409" s="12"/>
      <c r="Q409" s="12"/>
      <c r="R409" s="12"/>
      <c r="AE409" s="3"/>
    </row>
    <row r="410" spans="1:31">
      <c r="A410">
        <v>416</v>
      </c>
      <c r="B410">
        <v>2035</v>
      </c>
      <c r="P410" s="12"/>
      <c r="Q410" s="12"/>
      <c r="R410" s="12"/>
      <c r="AE410" s="3"/>
    </row>
    <row r="411" spans="1:31">
      <c r="A411">
        <v>417</v>
      </c>
      <c r="B411">
        <v>2040</v>
      </c>
      <c r="P411" s="12"/>
      <c r="Q411" s="12"/>
      <c r="R411" s="12"/>
      <c r="AE411" s="3"/>
    </row>
    <row r="412" spans="1:31">
      <c r="A412">
        <v>418</v>
      </c>
      <c r="B412">
        <v>2045</v>
      </c>
      <c r="P412" s="12"/>
      <c r="Q412" s="12"/>
      <c r="R412" s="12"/>
      <c r="AE412" s="3"/>
    </row>
    <row r="413" spans="1:31">
      <c r="A413">
        <v>419</v>
      </c>
      <c r="B413">
        <v>2050</v>
      </c>
      <c r="P413" s="12"/>
      <c r="Q413" s="12"/>
      <c r="R413" s="12"/>
      <c r="AE413" s="3"/>
    </row>
    <row r="414" spans="1:31">
      <c r="A414">
        <v>420</v>
      </c>
      <c r="B414">
        <v>2055</v>
      </c>
      <c r="P414" s="12"/>
      <c r="Q414" s="12"/>
      <c r="R414" s="12"/>
      <c r="AE414" s="3"/>
    </row>
    <row r="415" spans="1:31">
      <c r="A415">
        <v>421</v>
      </c>
      <c r="B415">
        <v>2060</v>
      </c>
      <c r="P415" s="12"/>
      <c r="Q415" s="12"/>
      <c r="R415" s="12"/>
      <c r="AE415" s="3"/>
    </row>
    <row r="416" spans="1:31">
      <c r="A416">
        <v>422</v>
      </c>
      <c r="B416">
        <v>2065</v>
      </c>
      <c r="P416" s="12"/>
      <c r="Q416" s="12"/>
      <c r="R416" s="12"/>
      <c r="AE416" s="3"/>
    </row>
    <row r="417" spans="1:31">
      <c r="A417">
        <v>423</v>
      </c>
      <c r="B417">
        <v>2070</v>
      </c>
      <c r="P417" s="12"/>
      <c r="Q417" s="12"/>
      <c r="R417" s="12"/>
      <c r="AE417" s="3"/>
    </row>
    <row r="418" spans="1:31">
      <c r="A418">
        <v>424</v>
      </c>
      <c r="B418">
        <v>2075</v>
      </c>
      <c r="P418" s="12"/>
      <c r="Q418" s="12"/>
      <c r="R418" s="12"/>
      <c r="AE418" s="3"/>
    </row>
    <row r="419" spans="1:31">
      <c r="A419">
        <v>425</v>
      </c>
      <c r="B419">
        <v>2080</v>
      </c>
      <c r="P419" s="12"/>
      <c r="Q419" s="12"/>
      <c r="R419" s="12"/>
      <c r="AE419" s="3"/>
    </row>
    <row r="420" spans="1:31">
      <c r="A420">
        <v>426</v>
      </c>
      <c r="B420">
        <v>2085</v>
      </c>
      <c r="P420" s="12"/>
      <c r="Q420" s="12"/>
      <c r="R420" s="12"/>
      <c r="AE420" s="3"/>
    </row>
    <row r="421" spans="1:31">
      <c r="A421">
        <v>427</v>
      </c>
      <c r="B421">
        <v>2090</v>
      </c>
      <c r="P421" s="12"/>
      <c r="Q421" s="12"/>
      <c r="R421" s="12"/>
      <c r="AE421" s="3"/>
    </row>
    <row r="422" spans="1:31">
      <c r="A422">
        <v>428</v>
      </c>
      <c r="B422">
        <v>2095</v>
      </c>
      <c r="P422" s="12"/>
      <c r="Q422" s="12"/>
      <c r="R422" s="12"/>
      <c r="AE422" s="3"/>
    </row>
    <row r="423" spans="1:31">
      <c r="A423">
        <v>429</v>
      </c>
      <c r="B423">
        <v>2100</v>
      </c>
      <c r="P423" s="12"/>
      <c r="Q423" s="12"/>
      <c r="R423" s="12"/>
      <c r="AE423" s="3"/>
    </row>
    <row r="424" spans="1:31">
      <c r="A424">
        <v>430</v>
      </c>
      <c r="B424">
        <v>2105</v>
      </c>
      <c r="P424" s="12"/>
      <c r="Q424" s="12"/>
      <c r="R424" s="12"/>
      <c r="AE424" s="3"/>
    </row>
    <row r="425" spans="1:31">
      <c r="A425">
        <v>431</v>
      </c>
      <c r="B425">
        <v>2110</v>
      </c>
      <c r="P425" s="12"/>
      <c r="Q425" s="12"/>
      <c r="R425" s="12"/>
      <c r="AE425" s="3"/>
    </row>
    <row r="426" spans="1:31">
      <c r="A426">
        <v>432</v>
      </c>
      <c r="B426">
        <v>2115</v>
      </c>
      <c r="P426" s="12"/>
      <c r="Q426" s="12"/>
      <c r="R426" s="12"/>
      <c r="AE426" s="3"/>
    </row>
    <row r="427" spans="1:31">
      <c r="A427">
        <v>433</v>
      </c>
      <c r="B427">
        <v>2120</v>
      </c>
      <c r="P427" s="12"/>
      <c r="Q427" s="12"/>
      <c r="R427" s="12"/>
      <c r="AE427" s="3"/>
    </row>
    <row r="428" spans="1:31">
      <c r="A428">
        <v>434</v>
      </c>
      <c r="B428">
        <v>2125</v>
      </c>
      <c r="P428" s="12"/>
      <c r="Q428" s="12"/>
      <c r="R428" s="12"/>
      <c r="AE428" s="3"/>
    </row>
    <row r="429" spans="1:31">
      <c r="A429">
        <v>435</v>
      </c>
      <c r="B429">
        <v>2130</v>
      </c>
      <c r="P429" s="12"/>
      <c r="Q429" s="12"/>
      <c r="R429" s="12"/>
      <c r="AE429" s="3"/>
    </row>
    <row r="430" spans="1:31">
      <c r="A430">
        <v>436</v>
      </c>
      <c r="B430">
        <v>2135</v>
      </c>
      <c r="P430" s="12"/>
      <c r="Q430" s="12"/>
      <c r="R430" s="12"/>
      <c r="AE430" s="3"/>
    </row>
    <row r="431" spans="1:31">
      <c r="A431">
        <v>437</v>
      </c>
      <c r="B431">
        <v>2140</v>
      </c>
      <c r="P431" s="12"/>
      <c r="Q431" s="12"/>
      <c r="R431" s="12"/>
      <c r="AE431" s="3"/>
    </row>
    <row r="432" spans="1:31">
      <c r="A432">
        <v>438</v>
      </c>
      <c r="B432">
        <v>2145</v>
      </c>
      <c r="P432" s="12"/>
      <c r="Q432" s="12"/>
      <c r="R432" s="12"/>
      <c r="AE432" s="3"/>
    </row>
    <row r="433" spans="1:31">
      <c r="A433">
        <v>439</v>
      </c>
      <c r="B433">
        <v>2150</v>
      </c>
      <c r="P433" s="12"/>
      <c r="Q433" s="12"/>
      <c r="R433" s="12"/>
      <c r="AE433" s="3"/>
    </row>
    <row r="434" spans="1:31">
      <c r="A434">
        <v>440</v>
      </c>
      <c r="B434">
        <v>2155</v>
      </c>
      <c r="P434" s="12"/>
      <c r="Q434" s="12"/>
      <c r="R434" s="12"/>
      <c r="AE434" s="3"/>
    </row>
    <row r="435" spans="1:31">
      <c r="A435">
        <v>441</v>
      </c>
      <c r="B435">
        <v>2160</v>
      </c>
      <c r="P435" s="12"/>
      <c r="Q435" s="12"/>
      <c r="R435" s="12"/>
      <c r="AE435" s="3"/>
    </row>
    <row r="436" spans="1:31">
      <c r="A436">
        <v>442</v>
      </c>
      <c r="B436">
        <v>2165</v>
      </c>
      <c r="P436" s="12"/>
      <c r="Q436" s="12"/>
      <c r="R436" s="12"/>
      <c r="AE436" s="3"/>
    </row>
    <row r="437" spans="1:31">
      <c r="A437">
        <v>443</v>
      </c>
      <c r="B437">
        <v>2170</v>
      </c>
      <c r="P437" s="12"/>
      <c r="Q437" s="12"/>
      <c r="R437" s="12"/>
      <c r="AE437" s="3"/>
    </row>
    <row r="438" spans="1:31">
      <c r="A438">
        <v>444</v>
      </c>
      <c r="B438">
        <v>2175</v>
      </c>
      <c r="P438" s="12"/>
      <c r="Q438" s="12"/>
      <c r="R438" s="12"/>
      <c r="AE438" s="3"/>
    </row>
    <row r="439" spans="1:31">
      <c r="A439">
        <v>445</v>
      </c>
      <c r="B439">
        <v>2180</v>
      </c>
      <c r="P439" s="12"/>
      <c r="Q439" s="12"/>
      <c r="R439" s="12"/>
      <c r="AE439" s="3"/>
    </row>
    <row r="440" spans="1:31">
      <c r="A440">
        <v>446</v>
      </c>
      <c r="B440">
        <v>2185</v>
      </c>
      <c r="AE440" s="3"/>
    </row>
    <row r="441" spans="1:31">
      <c r="A441">
        <v>447</v>
      </c>
      <c r="B441">
        <v>2190</v>
      </c>
      <c r="AE441" s="3"/>
    </row>
    <row r="442" spans="1:31">
      <c r="A442">
        <v>448</v>
      </c>
      <c r="B442">
        <v>2195</v>
      </c>
      <c r="AE442" s="3"/>
    </row>
    <row r="443" spans="1:31">
      <c r="A443">
        <v>449</v>
      </c>
      <c r="B443">
        <v>2200</v>
      </c>
      <c r="AE443" s="3"/>
    </row>
    <row r="444" spans="1:31">
      <c r="A444">
        <v>450</v>
      </c>
      <c r="B444">
        <v>2205</v>
      </c>
      <c r="AE444" s="3"/>
    </row>
    <row r="445" spans="1:31">
      <c r="A445">
        <v>451</v>
      </c>
      <c r="B445">
        <v>2210</v>
      </c>
      <c r="AE445" s="3"/>
    </row>
    <row r="446" spans="1:31">
      <c r="A446">
        <v>452</v>
      </c>
      <c r="B446">
        <v>2215</v>
      </c>
      <c r="AE446" s="3"/>
    </row>
    <row r="447" spans="1:31">
      <c r="A447">
        <v>453</v>
      </c>
      <c r="B447">
        <v>2220</v>
      </c>
      <c r="AE447" s="3"/>
    </row>
    <row r="448" spans="1:31">
      <c r="A448">
        <v>454</v>
      </c>
      <c r="B448">
        <v>2225</v>
      </c>
      <c r="AE448" s="3"/>
    </row>
    <row r="449" spans="1:31">
      <c r="A449">
        <v>455</v>
      </c>
      <c r="B449">
        <v>2230</v>
      </c>
      <c r="AE449" s="3"/>
    </row>
    <row r="450" spans="1:31">
      <c r="A450">
        <v>456</v>
      </c>
      <c r="B450">
        <v>2235</v>
      </c>
      <c r="AE450" s="3"/>
    </row>
    <row r="451" spans="1:31">
      <c r="A451">
        <v>457</v>
      </c>
      <c r="B451">
        <v>2240</v>
      </c>
      <c r="AE451" s="3"/>
    </row>
    <row r="452" spans="1:31">
      <c r="A452">
        <v>458</v>
      </c>
      <c r="B452">
        <v>2245</v>
      </c>
      <c r="AE452" s="3"/>
    </row>
    <row r="453" spans="1:31">
      <c r="A453">
        <v>459</v>
      </c>
      <c r="B453">
        <v>2250</v>
      </c>
      <c r="AE453" s="3"/>
    </row>
    <row r="454" spans="1:31">
      <c r="A454">
        <v>460</v>
      </c>
      <c r="B454">
        <v>2255</v>
      </c>
      <c r="AE454" s="3"/>
    </row>
    <row r="455" spans="1:31">
      <c r="A455">
        <v>461</v>
      </c>
      <c r="B455">
        <v>2260</v>
      </c>
      <c r="AE455" s="3"/>
    </row>
    <row r="456" spans="1:31">
      <c r="A456">
        <v>462</v>
      </c>
      <c r="B456">
        <v>2265</v>
      </c>
      <c r="AE456" s="3"/>
    </row>
    <row r="457" spans="1:31">
      <c r="A457">
        <v>463</v>
      </c>
      <c r="B457">
        <v>2270</v>
      </c>
      <c r="AE457" s="3"/>
    </row>
    <row r="458" spans="1:31">
      <c r="A458">
        <v>464</v>
      </c>
      <c r="B458">
        <v>2275</v>
      </c>
      <c r="AE458" s="3"/>
    </row>
    <row r="459" spans="1:31">
      <c r="A459">
        <v>465</v>
      </c>
      <c r="B459">
        <v>2280</v>
      </c>
      <c r="AE459" s="3"/>
    </row>
    <row r="460" spans="1:31">
      <c r="A460">
        <v>466</v>
      </c>
      <c r="B460">
        <v>2285</v>
      </c>
      <c r="AE460" s="3"/>
    </row>
    <row r="461" spans="1:31">
      <c r="A461">
        <v>467</v>
      </c>
      <c r="B461">
        <v>2290</v>
      </c>
      <c r="AE461" s="3"/>
    </row>
    <row r="462" spans="1:31">
      <c r="A462">
        <v>468</v>
      </c>
      <c r="B462">
        <v>2295</v>
      </c>
      <c r="AE462" s="3"/>
    </row>
    <row r="463" spans="1:31">
      <c r="A463">
        <v>469</v>
      </c>
      <c r="B463">
        <v>2300</v>
      </c>
      <c r="AE463" s="3"/>
    </row>
    <row r="464" spans="1:31">
      <c r="A464">
        <v>470</v>
      </c>
      <c r="B464">
        <v>2305</v>
      </c>
      <c r="AE464" s="3"/>
    </row>
    <row r="465" spans="1:31">
      <c r="A465">
        <v>471</v>
      </c>
      <c r="B465">
        <v>2310</v>
      </c>
      <c r="AE465" s="3"/>
    </row>
    <row r="466" spans="1:31">
      <c r="A466">
        <v>472</v>
      </c>
      <c r="B466">
        <v>2315</v>
      </c>
      <c r="AE466" s="3"/>
    </row>
    <row r="467" spans="1:31">
      <c r="A467">
        <v>473</v>
      </c>
      <c r="B467">
        <v>2320</v>
      </c>
      <c r="AE467" s="3"/>
    </row>
    <row r="468" spans="1:31">
      <c r="A468">
        <v>474</v>
      </c>
      <c r="B468">
        <v>2325</v>
      </c>
      <c r="AE468" s="3"/>
    </row>
    <row r="469" spans="1:31">
      <c r="A469">
        <v>475</v>
      </c>
      <c r="B469">
        <v>2330</v>
      </c>
      <c r="AE469" s="3"/>
    </row>
    <row r="470" spans="1:31">
      <c r="A470">
        <v>476</v>
      </c>
      <c r="B470">
        <v>2335</v>
      </c>
      <c r="AE470" s="3"/>
    </row>
    <row r="471" spans="1:31">
      <c r="A471">
        <v>477</v>
      </c>
      <c r="B471">
        <v>2340</v>
      </c>
      <c r="AE471" s="3"/>
    </row>
    <row r="472" spans="1:31">
      <c r="A472">
        <v>478</v>
      </c>
      <c r="B472">
        <v>2345</v>
      </c>
      <c r="AE472" s="3"/>
    </row>
    <row r="473" spans="1:31">
      <c r="A473">
        <v>479</v>
      </c>
      <c r="B473">
        <v>2350</v>
      </c>
      <c r="AE473" s="3"/>
    </row>
    <row r="474" spans="1:31">
      <c r="A474">
        <v>480</v>
      </c>
      <c r="B474">
        <v>2355</v>
      </c>
      <c r="AE474" s="3"/>
    </row>
    <row r="475" spans="1:31">
      <c r="A475">
        <v>481</v>
      </c>
      <c r="B475">
        <v>2360</v>
      </c>
      <c r="AE475" s="3"/>
    </row>
    <row r="476" spans="1:31">
      <c r="A476">
        <v>482</v>
      </c>
      <c r="B476">
        <v>2365</v>
      </c>
      <c r="AE476" s="3"/>
    </row>
    <row r="477" spans="1:31">
      <c r="A477">
        <v>483</v>
      </c>
      <c r="B477">
        <v>2370</v>
      </c>
      <c r="AE477" s="3"/>
    </row>
    <row r="478" spans="1:31">
      <c r="A478">
        <v>484</v>
      </c>
      <c r="B478">
        <v>2375</v>
      </c>
      <c r="AE478" s="3"/>
    </row>
    <row r="479" spans="1:31">
      <c r="A479">
        <v>485</v>
      </c>
      <c r="B479">
        <v>2380</v>
      </c>
      <c r="AE479" s="3"/>
    </row>
    <row r="480" spans="1:31">
      <c r="A480">
        <v>486</v>
      </c>
      <c r="B480">
        <v>2385</v>
      </c>
      <c r="AE480" s="3"/>
    </row>
    <row r="481" spans="1:31">
      <c r="A481">
        <v>487</v>
      </c>
      <c r="B481">
        <v>2390</v>
      </c>
      <c r="AE481" s="3"/>
    </row>
    <row r="482" spans="1:31">
      <c r="A482">
        <v>488</v>
      </c>
      <c r="B482">
        <v>2395</v>
      </c>
      <c r="AE482" s="3"/>
    </row>
    <row r="483" spans="1:31">
      <c r="A483">
        <v>489</v>
      </c>
      <c r="B483">
        <v>2400</v>
      </c>
      <c r="AE483" s="3"/>
    </row>
    <row r="484" spans="1:31">
      <c r="A484">
        <v>490</v>
      </c>
      <c r="B484">
        <v>2405</v>
      </c>
      <c r="AE484" s="3"/>
    </row>
    <row r="485" spans="1:31">
      <c r="A485">
        <v>491</v>
      </c>
      <c r="B485">
        <v>2410</v>
      </c>
      <c r="AE485" s="3"/>
    </row>
    <row r="486" spans="1:31">
      <c r="A486">
        <v>492</v>
      </c>
      <c r="B486">
        <v>2415</v>
      </c>
      <c r="AE486" s="3"/>
    </row>
    <row r="487" spans="1:31">
      <c r="A487">
        <v>493</v>
      </c>
      <c r="B487">
        <v>2420</v>
      </c>
      <c r="AE487" s="3"/>
    </row>
    <row r="488" spans="1:31">
      <c r="A488">
        <v>494</v>
      </c>
      <c r="B488">
        <v>2425</v>
      </c>
      <c r="AE488" s="3"/>
    </row>
    <row r="489" spans="1:31">
      <c r="A489">
        <v>495</v>
      </c>
      <c r="B489">
        <v>2430</v>
      </c>
      <c r="AE489" s="3"/>
    </row>
    <row r="490" spans="1:31">
      <c r="A490">
        <v>496</v>
      </c>
      <c r="B490">
        <v>2435</v>
      </c>
      <c r="AE490" s="3"/>
    </row>
    <row r="491" spans="1:31">
      <c r="A491">
        <v>497</v>
      </c>
      <c r="B491">
        <v>2440</v>
      </c>
      <c r="AE491" s="3"/>
    </row>
    <row r="492" spans="1:31">
      <c r="A492">
        <v>498</v>
      </c>
      <c r="B492">
        <v>2445</v>
      </c>
      <c r="AE492" s="3"/>
    </row>
    <row r="493" spans="1:31">
      <c r="A493">
        <v>499</v>
      </c>
      <c r="B493">
        <v>2450</v>
      </c>
      <c r="AE493" s="3"/>
    </row>
    <row r="494" spans="1:31">
      <c r="A494">
        <v>500</v>
      </c>
      <c r="B494">
        <v>2455</v>
      </c>
      <c r="AE494" s="3"/>
    </row>
    <row r="495" spans="1:31">
      <c r="A495">
        <v>501</v>
      </c>
      <c r="B495">
        <v>2460</v>
      </c>
      <c r="AE495" s="3"/>
    </row>
    <row r="496" spans="1:31">
      <c r="A496">
        <v>502</v>
      </c>
      <c r="B496">
        <v>2465</v>
      </c>
      <c r="AE496" s="3"/>
    </row>
    <row r="497" spans="1:31">
      <c r="A497">
        <v>503</v>
      </c>
      <c r="B497">
        <v>2470</v>
      </c>
      <c r="AE497" s="3"/>
    </row>
    <row r="498" spans="1:31">
      <c r="A498">
        <v>504</v>
      </c>
      <c r="B498">
        <v>2475</v>
      </c>
      <c r="AE498" s="3"/>
    </row>
    <row r="499" spans="1:31">
      <c r="A499">
        <v>505</v>
      </c>
      <c r="B499">
        <v>2480</v>
      </c>
      <c r="AE499" s="3"/>
    </row>
    <row r="500" spans="1:31">
      <c r="A500">
        <v>506</v>
      </c>
      <c r="B500">
        <v>2485</v>
      </c>
      <c r="AE500" s="3"/>
    </row>
    <row r="501" spans="1:31">
      <c r="A501">
        <v>507</v>
      </c>
      <c r="B501">
        <v>2490</v>
      </c>
      <c r="AE501" s="3"/>
    </row>
    <row r="502" spans="1:31">
      <c r="A502">
        <v>508</v>
      </c>
      <c r="B502">
        <v>2495</v>
      </c>
      <c r="AE502" s="3"/>
    </row>
    <row r="503" spans="1:31">
      <c r="A503">
        <v>509</v>
      </c>
      <c r="B503">
        <v>2500</v>
      </c>
      <c r="AE503" s="3"/>
    </row>
    <row r="504" spans="1:31">
      <c r="A504">
        <v>510</v>
      </c>
      <c r="B504">
        <v>2505</v>
      </c>
      <c r="AE504" s="3"/>
    </row>
    <row r="505" spans="1:31">
      <c r="A505">
        <v>511</v>
      </c>
      <c r="B505">
        <v>2510</v>
      </c>
      <c r="AE505" s="3"/>
    </row>
    <row r="506" spans="1:31">
      <c r="A506">
        <v>512</v>
      </c>
      <c r="B506">
        <v>2515</v>
      </c>
      <c r="AE506" s="3"/>
    </row>
    <row r="507" spans="1:31">
      <c r="A507">
        <v>513</v>
      </c>
      <c r="B507">
        <v>2520</v>
      </c>
      <c r="AE507" s="3"/>
    </row>
    <row r="508" spans="1:31">
      <c r="A508">
        <v>514</v>
      </c>
      <c r="B508">
        <v>2525</v>
      </c>
      <c r="AE508" s="3"/>
    </row>
    <row r="509" spans="1:31">
      <c r="A509">
        <v>515</v>
      </c>
      <c r="B509">
        <v>2530</v>
      </c>
      <c r="AE509" s="3"/>
    </row>
    <row r="510" spans="1:31">
      <c r="A510">
        <v>516</v>
      </c>
      <c r="B510">
        <v>2535</v>
      </c>
      <c r="AE510" s="3"/>
    </row>
    <row r="511" spans="1:31">
      <c r="A511">
        <v>517</v>
      </c>
      <c r="B511">
        <v>2540</v>
      </c>
      <c r="AE511" s="3"/>
    </row>
    <row r="512" spans="1:31">
      <c r="A512">
        <v>518</v>
      </c>
      <c r="B512">
        <v>2545</v>
      </c>
      <c r="AE512" s="3"/>
    </row>
    <row r="513" spans="1:31">
      <c r="A513">
        <v>519</v>
      </c>
      <c r="B513">
        <v>2550</v>
      </c>
      <c r="AE513" s="3"/>
    </row>
    <row r="514" spans="1:31">
      <c r="A514">
        <v>520</v>
      </c>
      <c r="B514">
        <v>2555</v>
      </c>
      <c r="AE514" s="3"/>
    </row>
    <row r="515" spans="1:31">
      <c r="A515">
        <v>521</v>
      </c>
      <c r="B515">
        <v>2560</v>
      </c>
      <c r="AE515" s="3"/>
    </row>
    <row r="516" spans="1:31">
      <c r="A516">
        <v>522</v>
      </c>
      <c r="B516">
        <v>2565</v>
      </c>
      <c r="AE516" s="3"/>
    </row>
    <row r="517" spans="1:31">
      <c r="A517">
        <v>523</v>
      </c>
      <c r="B517">
        <v>2570</v>
      </c>
      <c r="AE517" s="3"/>
    </row>
    <row r="518" spans="1:31">
      <c r="A518">
        <v>524</v>
      </c>
      <c r="B518">
        <v>2575</v>
      </c>
      <c r="AE518" s="3"/>
    </row>
    <row r="519" spans="1:31">
      <c r="A519">
        <v>525</v>
      </c>
      <c r="B519">
        <v>2580</v>
      </c>
      <c r="AE519" s="3"/>
    </row>
    <row r="520" spans="1:31">
      <c r="A520">
        <v>526</v>
      </c>
      <c r="B520">
        <v>2585</v>
      </c>
      <c r="AE520" s="3"/>
    </row>
    <row r="521" spans="1:31">
      <c r="A521">
        <v>527</v>
      </c>
      <c r="B521">
        <v>2590</v>
      </c>
      <c r="AE521" s="3"/>
    </row>
    <row r="522" spans="1:31">
      <c r="A522">
        <v>528</v>
      </c>
      <c r="B522">
        <v>2595</v>
      </c>
      <c r="AE522" s="3"/>
    </row>
    <row r="523" spans="1:31">
      <c r="A523">
        <v>529</v>
      </c>
      <c r="B523">
        <v>2600</v>
      </c>
      <c r="AE523" s="3"/>
    </row>
    <row r="524" spans="1:31">
      <c r="A524">
        <v>530</v>
      </c>
      <c r="B524">
        <v>2605</v>
      </c>
      <c r="AE524" s="3"/>
    </row>
    <row r="525" spans="1:31">
      <c r="A525">
        <v>531</v>
      </c>
      <c r="B525">
        <v>2610</v>
      </c>
      <c r="AE525" s="3"/>
    </row>
    <row r="526" spans="1:31">
      <c r="A526">
        <v>532</v>
      </c>
      <c r="B526">
        <v>2615</v>
      </c>
      <c r="AE526" s="3"/>
    </row>
    <row r="527" spans="1:31">
      <c r="A527">
        <v>533</v>
      </c>
      <c r="B527">
        <v>2620</v>
      </c>
      <c r="AE527" s="3"/>
    </row>
    <row r="528" spans="1:31">
      <c r="A528">
        <v>534</v>
      </c>
      <c r="B528">
        <v>2625</v>
      </c>
      <c r="AE528" s="3"/>
    </row>
    <row r="529" spans="1:31">
      <c r="A529">
        <v>535</v>
      </c>
      <c r="B529">
        <v>2630</v>
      </c>
      <c r="AE529" s="3"/>
    </row>
    <row r="530" spans="1:31">
      <c r="A530">
        <v>536</v>
      </c>
      <c r="B530">
        <v>2635</v>
      </c>
      <c r="AE530" s="3"/>
    </row>
    <row r="531" spans="1:31">
      <c r="A531">
        <v>537</v>
      </c>
      <c r="B531">
        <v>2640</v>
      </c>
      <c r="AE531" s="3"/>
    </row>
    <row r="532" spans="1:31">
      <c r="A532">
        <v>538</v>
      </c>
      <c r="B532">
        <v>2645</v>
      </c>
      <c r="AE532" s="3"/>
    </row>
    <row r="533" spans="1:31">
      <c r="A533">
        <v>539</v>
      </c>
      <c r="B533">
        <v>2650</v>
      </c>
      <c r="AE533" s="3"/>
    </row>
    <row r="534" spans="1:31">
      <c r="A534">
        <v>540</v>
      </c>
      <c r="B534">
        <v>2655</v>
      </c>
      <c r="AE534" s="3"/>
    </row>
    <row r="535" spans="1:31">
      <c r="A535">
        <v>541</v>
      </c>
      <c r="B535">
        <v>2660</v>
      </c>
      <c r="AE535" s="3"/>
    </row>
    <row r="536" spans="1:31">
      <c r="A536">
        <v>542</v>
      </c>
      <c r="B536">
        <v>2665</v>
      </c>
      <c r="AE536" s="3"/>
    </row>
    <row r="537" spans="1:31">
      <c r="A537">
        <v>543</v>
      </c>
      <c r="B537">
        <v>2670</v>
      </c>
      <c r="AE537" s="3"/>
    </row>
    <row r="538" spans="1:31">
      <c r="A538">
        <v>544</v>
      </c>
      <c r="B538">
        <v>2675</v>
      </c>
      <c r="AE538" s="3"/>
    </row>
    <row r="539" spans="1:31">
      <c r="A539">
        <v>545</v>
      </c>
      <c r="B539">
        <v>2680</v>
      </c>
      <c r="AE539" s="3"/>
    </row>
    <row r="540" spans="1:31">
      <c r="A540">
        <v>546</v>
      </c>
      <c r="B540">
        <v>2685</v>
      </c>
      <c r="AE540" s="3"/>
    </row>
    <row r="541" spans="1:31">
      <c r="A541">
        <v>547</v>
      </c>
      <c r="B541">
        <v>2690</v>
      </c>
      <c r="AE541" s="3"/>
    </row>
    <row r="542" spans="1:31">
      <c r="A542">
        <v>548</v>
      </c>
      <c r="B542">
        <v>2695</v>
      </c>
      <c r="AE542" s="3"/>
    </row>
    <row r="543" spans="1:31">
      <c r="A543">
        <v>549</v>
      </c>
      <c r="B543">
        <v>2700</v>
      </c>
      <c r="AE543" s="3"/>
    </row>
    <row r="544" spans="1:31">
      <c r="A544">
        <v>550</v>
      </c>
      <c r="B544">
        <v>2705</v>
      </c>
      <c r="AE544" s="3"/>
    </row>
    <row r="545" spans="1:31">
      <c r="A545">
        <v>551</v>
      </c>
      <c r="B545">
        <v>2710</v>
      </c>
      <c r="AE545" s="3"/>
    </row>
    <row r="546" spans="1:31">
      <c r="A546">
        <v>552</v>
      </c>
      <c r="B546">
        <v>2715</v>
      </c>
      <c r="AE546" s="3"/>
    </row>
    <row r="547" spans="1:31">
      <c r="A547">
        <v>553</v>
      </c>
      <c r="B547">
        <v>2720</v>
      </c>
      <c r="AE547" s="3"/>
    </row>
    <row r="548" spans="1:31">
      <c r="A548">
        <v>554</v>
      </c>
      <c r="B548">
        <v>2725</v>
      </c>
      <c r="AE548" s="3"/>
    </row>
    <row r="549" spans="1:31">
      <c r="A549">
        <v>555</v>
      </c>
      <c r="B549">
        <v>2730</v>
      </c>
      <c r="AE549" s="3"/>
    </row>
    <row r="550" spans="1:31">
      <c r="A550">
        <v>556</v>
      </c>
      <c r="B550">
        <v>2735</v>
      </c>
      <c r="AE550" s="3"/>
    </row>
    <row r="551" spans="1:31">
      <c r="A551">
        <v>557</v>
      </c>
      <c r="B551">
        <v>2740</v>
      </c>
      <c r="AE551" s="3"/>
    </row>
    <row r="552" spans="1:31">
      <c r="A552">
        <v>558</v>
      </c>
      <c r="B552">
        <v>2745</v>
      </c>
      <c r="AE552" s="3"/>
    </row>
    <row r="553" spans="1:31">
      <c r="A553">
        <v>559</v>
      </c>
      <c r="B553">
        <v>2750</v>
      </c>
      <c r="AE553" s="3"/>
    </row>
    <row r="554" spans="1:31">
      <c r="A554">
        <v>560</v>
      </c>
      <c r="B554">
        <v>2755</v>
      </c>
      <c r="AE554" s="3"/>
    </row>
    <row r="555" spans="1:31">
      <c r="A555">
        <v>561</v>
      </c>
      <c r="B555">
        <v>2760</v>
      </c>
      <c r="AE555" s="3"/>
    </row>
    <row r="556" spans="1:31">
      <c r="A556">
        <v>562</v>
      </c>
      <c r="B556">
        <v>2765</v>
      </c>
      <c r="AE556" s="3"/>
    </row>
    <row r="557" spans="1:31">
      <c r="A557">
        <v>563</v>
      </c>
      <c r="B557">
        <v>2770</v>
      </c>
      <c r="AE557" s="3"/>
    </row>
    <row r="558" spans="1:31">
      <c r="A558">
        <v>564</v>
      </c>
      <c r="B558">
        <v>2775</v>
      </c>
      <c r="AE558" s="3"/>
    </row>
    <row r="559" spans="1:31">
      <c r="A559">
        <v>565</v>
      </c>
      <c r="B559">
        <v>2780</v>
      </c>
      <c r="AE559" s="3"/>
    </row>
    <row r="560" spans="1:31">
      <c r="A560">
        <v>566</v>
      </c>
      <c r="B560">
        <v>2785</v>
      </c>
      <c r="AE560" s="3"/>
    </row>
    <row r="561" spans="1:31">
      <c r="A561">
        <v>567</v>
      </c>
      <c r="B561">
        <v>2790</v>
      </c>
      <c r="AE561" s="3"/>
    </row>
    <row r="562" spans="1:31">
      <c r="A562">
        <v>568</v>
      </c>
      <c r="B562">
        <v>2795</v>
      </c>
      <c r="AE562" s="3"/>
    </row>
    <row r="563" spans="1:31">
      <c r="A563">
        <v>569</v>
      </c>
      <c r="B563">
        <v>2800</v>
      </c>
      <c r="AE563" s="3"/>
    </row>
    <row r="564" spans="1:31">
      <c r="A564">
        <v>570</v>
      </c>
      <c r="B564">
        <v>2805</v>
      </c>
      <c r="AE564" s="3"/>
    </row>
    <row r="565" spans="1:31">
      <c r="A565">
        <v>571</v>
      </c>
      <c r="B565">
        <v>2810</v>
      </c>
      <c r="AE565" s="3"/>
    </row>
    <row r="566" spans="1:31">
      <c r="A566">
        <v>572</v>
      </c>
      <c r="B566">
        <v>2815</v>
      </c>
      <c r="AE566" s="3"/>
    </row>
    <row r="567" spans="1:31">
      <c r="A567">
        <v>573</v>
      </c>
      <c r="B567">
        <v>2820</v>
      </c>
      <c r="AE567" s="3"/>
    </row>
    <row r="568" spans="1:31">
      <c r="A568">
        <v>574</v>
      </c>
      <c r="B568">
        <v>2825</v>
      </c>
      <c r="AE568" s="3"/>
    </row>
    <row r="569" spans="1:31">
      <c r="A569">
        <v>575</v>
      </c>
      <c r="B569">
        <v>2830</v>
      </c>
      <c r="AE569" s="3"/>
    </row>
    <row r="570" spans="1:31">
      <c r="A570">
        <v>576</v>
      </c>
      <c r="B570">
        <v>2835</v>
      </c>
      <c r="AE570" s="3"/>
    </row>
    <row r="571" spans="1:31">
      <c r="A571">
        <v>577</v>
      </c>
      <c r="B571">
        <v>2840</v>
      </c>
      <c r="AE571" s="3"/>
    </row>
    <row r="572" spans="1:31">
      <c r="A572">
        <v>578</v>
      </c>
      <c r="B572">
        <v>2845</v>
      </c>
      <c r="AE572" s="3"/>
    </row>
    <row r="573" spans="1:31">
      <c r="A573">
        <v>579</v>
      </c>
      <c r="B573">
        <v>2850</v>
      </c>
      <c r="AE573" s="3"/>
    </row>
    <row r="574" spans="1:31">
      <c r="A574">
        <v>580</v>
      </c>
      <c r="B574">
        <v>2855</v>
      </c>
      <c r="AE574" s="3"/>
    </row>
    <row r="575" spans="1:31">
      <c r="A575">
        <v>581</v>
      </c>
      <c r="B575">
        <v>2860</v>
      </c>
      <c r="AE575" s="3"/>
    </row>
    <row r="576" spans="1:31">
      <c r="A576">
        <v>582</v>
      </c>
      <c r="B576">
        <v>2865</v>
      </c>
      <c r="AE576" s="3"/>
    </row>
    <row r="577" spans="1:31">
      <c r="A577">
        <v>583</v>
      </c>
      <c r="B577">
        <v>2870</v>
      </c>
      <c r="AE577" s="3"/>
    </row>
    <row r="578" spans="1:31">
      <c r="A578">
        <v>584</v>
      </c>
      <c r="B578">
        <v>2875</v>
      </c>
      <c r="AE578" s="3"/>
    </row>
    <row r="579" spans="1:31">
      <c r="A579">
        <v>585</v>
      </c>
      <c r="B579">
        <v>2880</v>
      </c>
      <c r="AE579" s="3"/>
    </row>
    <row r="580" spans="1:31">
      <c r="A580">
        <v>586</v>
      </c>
      <c r="B580">
        <v>2885</v>
      </c>
      <c r="AE580" s="3"/>
    </row>
    <row r="581" spans="1:31">
      <c r="A581">
        <v>587</v>
      </c>
      <c r="B581">
        <v>2890</v>
      </c>
      <c r="AE581" s="3"/>
    </row>
    <row r="582" spans="1:31">
      <c r="A582">
        <v>588</v>
      </c>
      <c r="B582">
        <v>2895</v>
      </c>
      <c r="AE582" s="3"/>
    </row>
    <row r="583" spans="1:31">
      <c r="A583">
        <v>589</v>
      </c>
      <c r="B583">
        <v>2900</v>
      </c>
      <c r="AE583" s="3"/>
    </row>
    <row r="584" spans="1:31">
      <c r="A584">
        <v>590</v>
      </c>
      <c r="B584">
        <v>2905</v>
      </c>
      <c r="AE584" s="3"/>
    </row>
    <row r="585" spans="1:31">
      <c r="A585">
        <v>591</v>
      </c>
      <c r="B585">
        <v>2910</v>
      </c>
      <c r="AE585" s="3"/>
    </row>
    <row r="586" spans="1:31">
      <c r="A586">
        <v>592</v>
      </c>
      <c r="B586">
        <v>2915</v>
      </c>
      <c r="AE586" s="3"/>
    </row>
    <row r="587" spans="1:31">
      <c r="A587">
        <v>593</v>
      </c>
      <c r="B587">
        <v>2920</v>
      </c>
      <c r="AE587" s="3"/>
    </row>
    <row r="588" spans="1:31">
      <c r="A588">
        <v>594</v>
      </c>
      <c r="B588">
        <v>2925</v>
      </c>
      <c r="AE588" s="3"/>
    </row>
    <row r="589" spans="1:31">
      <c r="A589">
        <v>595</v>
      </c>
      <c r="B589">
        <v>2930</v>
      </c>
      <c r="AE589" s="3"/>
    </row>
    <row r="590" spans="1:31">
      <c r="A590">
        <v>596</v>
      </c>
      <c r="B590">
        <v>2935</v>
      </c>
      <c r="AE590" s="3"/>
    </row>
    <row r="591" spans="1:31">
      <c r="A591">
        <v>597</v>
      </c>
      <c r="B591">
        <v>2940</v>
      </c>
      <c r="AE591" s="3"/>
    </row>
    <row r="592" spans="1:31">
      <c r="A592">
        <v>598</v>
      </c>
      <c r="B592">
        <v>2945</v>
      </c>
      <c r="AE592" s="3"/>
    </row>
    <row r="593" spans="1:31">
      <c r="A593">
        <v>599</v>
      </c>
      <c r="B593">
        <v>2950</v>
      </c>
      <c r="AE593" s="3"/>
    </row>
    <row r="594" spans="1:31">
      <c r="A594">
        <v>600</v>
      </c>
      <c r="B594">
        <v>2955</v>
      </c>
      <c r="AE594" s="3"/>
    </row>
    <row r="595" spans="1:31">
      <c r="A595">
        <v>601</v>
      </c>
      <c r="B595">
        <v>2960</v>
      </c>
      <c r="AE595" s="3"/>
    </row>
    <row r="596" spans="1:31">
      <c r="A596">
        <v>602</v>
      </c>
      <c r="B596">
        <v>2965</v>
      </c>
      <c r="AE596" s="3"/>
    </row>
    <row r="597" spans="1:31">
      <c r="A597">
        <v>603</v>
      </c>
      <c r="B597">
        <v>2970</v>
      </c>
      <c r="AE597" s="3"/>
    </row>
    <row r="598" spans="1:31">
      <c r="A598">
        <v>604</v>
      </c>
      <c r="B598">
        <v>2975</v>
      </c>
      <c r="AE598" s="3"/>
    </row>
    <row r="599" spans="1:31">
      <c r="A599">
        <v>605</v>
      </c>
      <c r="B599">
        <v>2980</v>
      </c>
      <c r="AE599" s="3"/>
    </row>
    <row r="600" spans="1:31">
      <c r="A600">
        <v>606</v>
      </c>
      <c r="B600">
        <v>2985</v>
      </c>
      <c r="AE600" s="3"/>
    </row>
    <row r="601" spans="1:31">
      <c r="A601">
        <v>607</v>
      </c>
      <c r="B601">
        <v>2990</v>
      </c>
      <c r="AE601" s="3"/>
    </row>
    <row r="602" spans="1:31">
      <c r="A602">
        <v>608</v>
      </c>
      <c r="B602">
        <v>2995</v>
      </c>
      <c r="AE602" s="3"/>
    </row>
    <row r="603" spans="1:31">
      <c r="A603">
        <v>609</v>
      </c>
      <c r="B603">
        <v>3000</v>
      </c>
      <c r="AE603" s="3"/>
    </row>
    <row r="604" spans="1:31">
      <c r="A604">
        <v>610</v>
      </c>
      <c r="AE604" s="3"/>
    </row>
    <row r="605" spans="1:31">
      <c r="A605">
        <v>611</v>
      </c>
      <c r="AE605" s="3"/>
    </row>
    <row r="606" spans="1:31">
      <c r="A606">
        <v>612</v>
      </c>
      <c r="AE606" s="3"/>
    </row>
    <row r="607" spans="1:31">
      <c r="A607">
        <v>613</v>
      </c>
      <c r="AE607" s="3"/>
    </row>
    <row r="608" spans="1:31">
      <c r="A608">
        <v>614</v>
      </c>
      <c r="AE608" s="3"/>
    </row>
    <row r="609" spans="1:31">
      <c r="A609">
        <v>615</v>
      </c>
      <c r="AE609" s="3"/>
    </row>
    <row r="610" spans="1:31">
      <c r="A610">
        <v>616</v>
      </c>
      <c r="AE610" s="3"/>
    </row>
    <row r="611" spans="1:31">
      <c r="A611">
        <v>617</v>
      </c>
      <c r="AE611" s="3"/>
    </row>
    <row r="612" spans="1:31">
      <c r="A612">
        <v>618</v>
      </c>
      <c r="AE612" s="3"/>
    </row>
    <row r="613" spans="1:31">
      <c r="A613">
        <v>619</v>
      </c>
      <c r="AE613" s="3"/>
    </row>
    <row r="614" spans="1:31">
      <c r="A614">
        <v>620</v>
      </c>
      <c r="AE614" s="3"/>
    </row>
    <row r="615" spans="1:31">
      <c r="A615">
        <v>621</v>
      </c>
      <c r="AE615" s="3"/>
    </row>
    <row r="616" spans="1:31">
      <c r="A616">
        <v>622</v>
      </c>
      <c r="AE616" s="3"/>
    </row>
    <row r="617" spans="1:31">
      <c r="A617">
        <v>623</v>
      </c>
      <c r="AE617" s="3"/>
    </row>
    <row r="618" spans="1:31">
      <c r="A618">
        <v>624</v>
      </c>
      <c r="AE618" s="3"/>
    </row>
    <row r="619" spans="1:31">
      <c r="A619">
        <v>625</v>
      </c>
      <c r="AE619" s="3"/>
    </row>
    <row r="620" spans="1:31">
      <c r="A620">
        <v>626</v>
      </c>
      <c r="AE620" s="3"/>
    </row>
    <row r="621" spans="1:31">
      <c r="A621">
        <v>627</v>
      </c>
      <c r="AE621" s="3"/>
    </row>
    <row r="622" spans="1:31">
      <c r="A622">
        <v>628</v>
      </c>
      <c r="AE622" s="3"/>
    </row>
    <row r="623" spans="1:31">
      <c r="A623">
        <v>629</v>
      </c>
      <c r="AE623" s="3"/>
    </row>
    <row r="624" spans="1:31">
      <c r="A624">
        <v>630</v>
      </c>
      <c r="AE624" s="3"/>
    </row>
    <row r="625" spans="1:31">
      <c r="A625">
        <v>631</v>
      </c>
      <c r="AE625" s="3"/>
    </row>
    <row r="626" spans="1:31">
      <c r="A626">
        <v>632</v>
      </c>
      <c r="AE626" s="3"/>
    </row>
    <row r="627" spans="1:31">
      <c r="A627">
        <v>633</v>
      </c>
      <c r="AE627" s="3"/>
    </row>
    <row r="628" spans="1:31">
      <c r="A628">
        <v>634</v>
      </c>
      <c r="AE628" s="3"/>
    </row>
    <row r="629" spans="1:31">
      <c r="A629">
        <v>635</v>
      </c>
      <c r="AE629" s="3"/>
    </row>
    <row r="630" spans="1:31">
      <c r="A630">
        <v>636</v>
      </c>
      <c r="AE630" s="3"/>
    </row>
    <row r="631" spans="1:31">
      <c r="A631">
        <v>637</v>
      </c>
      <c r="AE631" s="3"/>
    </row>
    <row r="632" spans="1:31">
      <c r="A632">
        <v>638</v>
      </c>
      <c r="AE632" s="3"/>
    </row>
    <row r="633" spans="1:31">
      <c r="A633">
        <v>639</v>
      </c>
      <c r="AE633" s="3"/>
    </row>
    <row r="634" spans="1:31">
      <c r="A634">
        <v>640</v>
      </c>
      <c r="AE634" s="3"/>
    </row>
    <row r="635" spans="1:31">
      <c r="A635">
        <v>641</v>
      </c>
      <c r="AE635" s="3"/>
    </row>
    <row r="636" spans="1:31">
      <c r="A636">
        <v>642</v>
      </c>
      <c r="AE636" s="3"/>
    </row>
    <row r="637" spans="1:31">
      <c r="A637">
        <v>643</v>
      </c>
      <c r="AE637" s="3"/>
    </row>
    <row r="638" spans="1:31">
      <c r="A638">
        <v>644</v>
      </c>
      <c r="AE638" s="3"/>
    </row>
    <row r="639" spans="1:31">
      <c r="A639">
        <v>645</v>
      </c>
      <c r="AE639" s="3"/>
    </row>
    <row r="640" spans="1:31">
      <c r="A640">
        <v>646</v>
      </c>
      <c r="AE640" s="3"/>
    </row>
    <row r="641" spans="1:31">
      <c r="A641">
        <v>647</v>
      </c>
      <c r="AE641" s="3"/>
    </row>
    <row r="642" spans="1:31">
      <c r="A642">
        <v>648</v>
      </c>
      <c r="AE642" s="3"/>
    </row>
    <row r="643" spans="1:31">
      <c r="A643">
        <v>649</v>
      </c>
      <c r="AE643" s="3"/>
    </row>
    <row r="644" spans="1:31">
      <c r="A644">
        <v>650</v>
      </c>
      <c r="AE644" s="3"/>
    </row>
    <row r="645" spans="1:31">
      <c r="A645">
        <v>651</v>
      </c>
      <c r="AE645" s="3"/>
    </row>
    <row r="646" spans="1:31">
      <c r="A646">
        <v>652</v>
      </c>
      <c r="AE646" s="3"/>
    </row>
    <row r="647" spans="1:31">
      <c r="A647">
        <v>653</v>
      </c>
      <c r="AE647" s="3"/>
    </row>
    <row r="648" spans="1:31">
      <c r="A648">
        <v>654</v>
      </c>
      <c r="AE648" s="3"/>
    </row>
    <row r="649" spans="1:31">
      <c r="A649">
        <v>655</v>
      </c>
      <c r="AE649" s="3"/>
    </row>
    <row r="650" spans="1:31">
      <c r="A650">
        <v>656</v>
      </c>
      <c r="AE650" s="3"/>
    </row>
    <row r="651" spans="1:31">
      <c r="A651">
        <v>657</v>
      </c>
      <c r="AE651" s="3"/>
    </row>
    <row r="652" spans="1:31">
      <c r="A652">
        <v>658</v>
      </c>
      <c r="AE652" s="3"/>
    </row>
    <row r="653" spans="1:31">
      <c r="A653">
        <v>659</v>
      </c>
      <c r="AE653" s="3"/>
    </row>
    <row r="654" spans="1:31">
      <c r="A654">
        <v>660</v>
      </c>
      <c r="AE654" s="3"/>
    </row>
    <row r="655" spans="1:31">
      <c r="A655">
        <v>661</v>
      </c>
      <c r="AE655" s="3"/>
    </row>
    <row r="656" spans="1:31">
      <c r="A656">
        <v>662</v>
      </c>
      <c r="AE656" s="3"/>
    </row>
    <row r="657" spans="1:31">
      <c r="A657">
        <v>663</v>
      </c>
      <c r="AE657" s="3"/>
    </row>
    <row r="658" spans="1:31">
      <c r="A658">
        <v>664</v>
      </c>
      <c r="AE658" s="3"/>
    </row>
    <row r="659" spans="1:31">
      <c r="A659">
        <v>665</v>
      </c>
      <c r="AE659" s="3"/>
    </row>
    <row r="660" spans="1:31">
      <c r="A660">
        <v>666</v>
      </c>
      <c r="AE660" s="3"/>
    </row>
    <row r="661" spans="1:31">
      <c r="A661">
        <v>667</v>
      </c>
      <c r="AE661" s="3"/>
    </row>
    <row r="662" spans="1:31">
      <c r="A662">
        <v>668</v>
      </c>
      <c r="AE662" s="3"/>
    </row>
    <row r="663" spans="1:31">
      <c r="A663">
        <v>669</v>
      </c>
      <c r="AE663" s="3"/>
    </row>
    <row r="664" spans="1:31">
      <c r="A664">
        <v>670</v>
      </c>
      <c r="AE664" s="3"/>
    </row>
    <row r="665" spans="1:31">
      <c r="A665">
        <v>671</v>
      </c>
      <c r="AE665" s="3"/>
    </row>
    <row r="666" spans="1:31">
      <c r="A666">
        <v>672</v>
      </c>
      <c r="AE666" s="3"/>
    </row>
    <row r="667" spans="1:31">
      <c r="A667">
        <v>673</v>
      </c>
      <c r="AE667" s="3"/>
    </row>
    <row r="668" spans="1:31">
      <c r="A668">
        <v>674</v>
      </c>
      <c r="AE668" s="3"/>
    </row>
    <row r="669" spans="1:31">
      <c r="A669">
        <v>675</v>
      </c>
      <c r="AE669" s="3"/>
    </row>
    <row r="670" spans="1:31">
      <c r="A670">
        <v>676</v>
      </c>
      <c r="AE670" s="3"/>
    </row>
    <row r="671" spans="1:31">
      <c r="A671">
        <v>677</v>
      </c>
      <c r="AE671" s="3"/>
    </row>
    <row r="672" spans="1:31">
      <c r="A672">
        <v>678</v>
      </c>
      <c r="AE672" s="3"/>
    </row>
    <row r="673" spans="1:31">
      <c r="A673">
        <v>679</v>
      </c>
      <c r="AE673" s="3"/>
    </row>
    <row r="674" spans="1:31">
      <c r="A674">
        <v>680</v>
      </c>
      <c r="AE674" s="3"/>
    </row>
    <row r="675" spans="1:31">
      <c r="A675">
        <v>681</v>
      </c>
      <c r="AE675" s="3"/>
    </row>
    <row r="676" spans="1:31">
      <c r="A676">
        <v>682</v>
      </c>
      <c r="AE676" s="3"/>
    </row>
    <row r="677" spans="1:31">
      <c r="A677">
        <v>683</v>
      </c>
      <c r="AE677" s="3"/>
    </row>
    <row r="678" spans="1:31">
      <c r="A678">
        <v>684</v>
      </c>
      <c r="AE678" s="3"/>
    </row>
    <row r="679" spans="1:31">
      <c r="A679">
        <v>685</v>
      </c>
      <c r="AE679" s="3"/>
    </row>
    <row r="680" spans="1:31">
      <c r="A680">
        <v>686</v>
      </c>
      <c r="AE680" s="3"/>
    </row>
    <row r="681" spans="1:31">
      <c r="A681">
        <v>687</v>
      </c>
      <c r="AE681" s="3"/>
    </row>
    <row r="682" spans="1:31">
      <c r="A682">
        <v>688</v>
      </c>
      <c r="AE682" s="3"/>
    </row>
    <row r="683" spans="1:31">
      <c r="A683">
        <v>689</v>
      </c>
      <c r="AE683" s="3"/>
    </row>
    <row r="684" spans="1:31">
      <c r="A684">
        <v>690</v>
      </c>
      <c r="AE684" s="3"/>
    </row>
    <row r="685" spans="1:31">
      <c r="A685">
        <v>691</v>
      </c>
      <c r="AE685" s="3"/>
    </row>
    <row r="686" spans="1:31">
      <c r="A686">
        <v>692</v>
      </c>
      <c r="AE686" s="3"/>
    </row>
    <row r="687" spans="1:31">
      <c r="A687">
        <v>693</v>
      </c>
      <c r="AE687" s="3"/>
    </row>
    <row r="688" spans="1:31">
      <c r="A688">
        <v>694</v>
      </c>
      <c r="AE688" s="3"/>
    </row>
    <row r="689" spans="1:31">
      <c r="A689">
        <v>695</v>
      </c>
      <c r="AE689" s="3"/>
    </row>
    <row r="690" spans="1:31">
      <c r="A690">
        <v>696</v>
      </c>
      <c r="AE690" s="3"/>
    </row>
    <row r="691" spans="1:31">
      <c r="A691">
        <v>697</v>
      </c>
      <c r="AE691" s="3"/>
    </row>
    <row r="692" spans="1:31">
      <c r="A692">
        <v>698</v>
      </c>
      <c r="AE692" s="3"/>
    </row>
    <row r="693" spans="1:31">
      <c r="A693">
        <v>699</v>
      </c>
      <c r="AE693" s="3"/>
    </row>
    <row r="694" spans="1:31">
      <c r="A694">
        <v>700</v>
      </c>
      <c r="AE694" s="3"/>
    </row>
    <row r="695" spans="1:31">
      <c r="A695">
        <v>701</v>
      </c>
      <c r="AE695" s="3"/>
    </row>
    <row r="696" spans="1:31">
      <c r="A696">
        <v>702</v>
      </c>
      <c r="AE696" s="3"/>
    </row>
    <row r="697" spans="1:31">
      <c r="A697">
        <v>703</v>
      </c>
      <c r="AE697" s="3"/>
    </row>
    <row r="698" spans="1:31">
      <c r="A698">
        <v>704</v>
      </c>
      <c r="AE698" s="3"/>
    </row>
    <row r="699" spans="1:31">
      <c r="A699">
        <v>705</v>
      </c>
      <c r="AE699" s="3"/>
    </row>
    <row r="700" spans="1:31">
      <c r="A700">
        <v>706</v>
      </c>
      <c r="AE700" s="3"/>
    </row>
    <row r="701" spans="1:31">
      <c r="A701">
        <v>707</v>
      </c>
      <c r="AE701" s="3"/>
    </row>
    <row r="702" spans="1:31">
      <c r="A702">
        <v>708</v>
      </c>
      <c r="AE702" s="3"/>
    </row>
    <row r="703" spans="1:31">
      <c r="A703">
        <v>709</v>
      </c>
      <c r="AE703" s="3"/>
    </row>
    <row r="704" spans="1:31">
      <c r="A704">
        <v>710</v>
      </c>
      <c r="AE704" s="3"/>
    </row>
    <row r="705" spans="1:31">
      <c r="A705">
        <v>711</v>
      </c>
      <c r="AE705" s="3"/>
    </row>
    <row r="706" spans="1:31">
      <c r="A706">
        <v>712</v>
      </c>
      <c r="AE706" s="3"/>
    </row>
    <row r="707" spans="1:31">
      <c r="A707">
        <v>713</v>
      </c>
      <c r="AE707" s="3"/>
    </row>
    <row r="708" spans="1:31">
      <c r="A708">
        <v>714</v>
      </c>
      <c r="AE708" s="3"/>
    </row>
    <row r="709" spans="1:31">
      <c r="A709">
        <v>715</v>
      </c>
      <c r="AE709" s="3"/>
    </row>
    <row r="710" spans="1:31">
      <c r="A710">
        <v>716</v>
      </c>
      <c r="AE710" s="3"/>
    </row>
    <row r="711" spans="1:31">
      <c r="A711">
        <v>717</v>
      </c>
      <c r="AE711" s="3"/>
    </row>
    <row r="712" spans="1:31">
      <c r="A712">
        <v>718</v>
      </c>
      <c r="AE712" s="3"/>
    </row>
    <row r="713" spans="1:31">
      <c r="A713">
        <v>719</v>
      </c>
      <c r="AE713" s="3"/>
    </row>
    <row r="714" spans="1:31">
      <c r="A714">
        <v>720</v>
      </c>
      <c r="AE714" s="3"/>
    </row>
    <row r="715" spans="1:31">
      <c r="A715">
        <v>721</v>
      </c>
      <c r="AE715" s="3"/>
    </row>
    <row r="716" spans="1:31">
      <c r="A716">
        <v>722</v>
      </c>
      <c r="AE716" s="3"/>
    </row>
    <row r="717" spans="1:31">
      <c r="A717">
        <v>723</v>
      </c>
      <c r="AE717" s="3"/>
    </row>
    <row r="718" spans="1:31">
      <c r="A718">
        <v>724</v>
      </c>
      <c r="AE718" s="3"/>
    </row>
    <row r="719" spans="1:31">
      <c r="A719">
        <v>725</v>
      </c>
      <c r="AE719" s="3"/>
    </row>
    <row r="720" spans="1:31">
      <c r="A720">
        <v>726</v>
      </c>
      <c r="AE720" s="3"/>
    </row>
    <row r="721" spans="1:31">
      <c r="A721">
        <v>727</v>
      </c>
      <c r="AE721" s="3"/>
    </row>
    <row r="722" spans="1:31">
      <c r="A722">
        <v>728</v>
      </c>
      <c r="AE722" s="3"/>
    </row>
    <row r="723" spans="1:31">
      <c r="A723">
        <v>729</v>
      </c>
      <c r="AE723" s="3"/>
    </row>
    <row r="724" spans="1:31">
      <c r="A724">
        <v>730</v>
      </c>
      <c r="AE724" s="3"/>
    </row>
    <row r="725" spans="1:31">
      <c r="A725">
        <v>731</v>
      </c>
    </row>
    <row r="726" spans="1:31">
      <c r="A726">
        <v>732</v>
      </c>
    </row>
    <row r="727" spans="1:31">
      <c r="A727">
        <v>733</v>
      </c>
    </row>
    <row r="728" spans="1:31">
      <c r="A728">
        <v>734</v>
      </c>
    </row>
    <row r="729" spans="1:31">
      <c r="A729">
        <v>735</v>
      </c>
    </row>
    <row r="730" spans="1:31">
      <c r="A730">
        <v>736</v>
      </c>
    </row>
    <row r="731" spans="1:31">
      <c r="A731">
        <v>737</v>
      </c>
    </row>
    <row r="732" spans="1:31">
      <c r="A732">
        <v>738</v>
      </c>
    </row>
    <row r="733" spans="1:31">
      <c r="A733">
        <v>739</v>
      </c>
    </row>
    <row r="734" spans="1:31">
      <c r="A734">
        <v>740</v>
      </c>
    </row>
    <row r="735" spans="1:31">
      <c r="A735">
        <v>741</v>
      </c>
    </row>
    <row r="736" spans="1:31">
      <c r="A736">
        <v>742</v>
      </c>
    </row>
    <row r="737" spans="1:1">
      <c r="A737">
        <v>743</v>
      </c>
    </row>
    <row r="738" spans="1:1">
      <c r="A738">
        <v>744</v>
      </c>
    </row>
    <row r="739" spans="1:1">
      <c r="A739">
        <v>745</v>
      </c>
    </row>
    <row r="740" spans="1:1">
      <c r="A740">
        <v>746</v>
      </c>
    </row>
    <row r="741" spans="1:1">
      <c r="A741">
        <v>747</v>
      </c>
    </row>
    <row r="742" spans="1:1">
      <c r="A742">
        <v>748</v>
      </c>
    </row>
    <row r="743" spans="1:1">
      <c r="A743">
        <v>749</v>
      </c>
    </row>
    <row r="744" spans="1:1">
      <c r="A744">
        <v>750</v>
      </c>
    </row>
    <row r="745" spans="1:1">
      <c r="A745">
        <v>751</v>
      </c>
    </row>
    <row r="746" spans="1:1">
      <c r="A746">
        <v>752</v>
      </c>
    </row>
    <row r="747" spans="1:1">
      <c r="A747">
        <v>753</v>
      </c>
    </row>
    <row r="748" spans="1:1">
      <c r="A748">
        <v>754</v>
      </c>
    </row>
    <row r="749" spans="1:1">
      <c r="A749">
        <v>755</v>
      </c>
    </row>
    <row r="750" spans="1:1">
      <c r="A750">
        <v>756</v>
      </c>
    </row>
    <row r="751" spans="1:1">
      <c r="A751">
        <v>757</v>
      </c>
    </row>
    <row r="752" spans="1:1">
      <c r="A752">
        <v>758</v>
      </c>
    </row>
    <row r="753" spans="1:1">
      <c r="A753">
        <v>759</v>
      </c>
    </row>
    <row r="754" spans="1:1">
      <c r="A754">
        <v>760</v>
      </c>
    </row>
    <row r="755" spans="1:1">
      <c r="A755">
        <v>761</v>
      </c>
    </row>
    <row r="756" spans="1:1">
      <c r="A756">
        <v>762</v>
      </c>
    </row>
    <row r="757" spans="1:1">
      <c r="A757">
        <v>763</v>
      </c>
    </row>
    <row r="758" spans="1:1">
      <c r="A758">
        <v>764</v>
      </c>
    </row>
    <row r="759" spans="1:1">
      <c r="A759">
        <v>765</v>
      </c>
    </row>
    <row r="760" spans="1:1">
      <c r="A760">
        <v>766</v>
      </c>
    </row>
    <row r="761" spans="1:1">
      <c r="A761">
        <v>767</v>
      </c>
    </row>
    <row r="762" spans="1:1">
      <c r="A762">
        <v>768</v>
      </c>
    </row>
    <row r="763" spans="1:1">
      <c r="A763">
        <v>769</v>
      </c>
    </row>
    <row r="764" spans="1:1">
      <c r="A764">
        <v>770</v>
      </c>
    </row>
    <row r="765" spans="1:1">
      <c r="A765">
        <v>771</v>
      </c>
    </row>
    <row r="766" spans="1:1">
      <c r="A766">
        <v>772</v>
      </c>
    </row>
    <row r="767" spans="1:1">
      <c r="A767">
        <v>773</v>
      </c>
    </row>
    <row r="768" spans="1:1">
      <c r="A768">
        <v>774</v>
      </c>
    </row>
    <row r="769" spans="1:1">
      <c r="A769">
        <v>775</v>
      </c>
    </row>
    <row r="770" spans="1:1">
      <c r="A770">
        <v>776</v>
      </c>
    </row>
    <row r="771" spans="1:1">
      <c r="A771">
        <v>777</v>
      </c>
    </row>
    <row r="772" spans="1:1">
      <c r="A772">
        <v>778</v>
      </c>
    </row>
    <row r="773" spans="1:1">
      <c r="A773">
        <v>779</v>
      </c>
    </row>
    <row r="774" spans="1:1">
      <c r="A774">
        <v>780</v>
      </c>
    </row>
    <row r="775" spans="1:1">
      <c r="A775">
        <v>781</v>
      </c>
    </row>
    <row r="776" spans="1:1">
      <c r="A776">
        <v>782</v>
      </c>
    </row>
    <row r="777" spans="1:1">
      <c r="A777">
        <v>783</v>
      </c>
    </row>
    <row r="778" spans="1:1">
      <c r="A778">
        <v>784</v>
      </c>
    </row>
    <row r="779" spans="1:1">
      <c r="A779">
        <v>785</v>
      </c>
    </row>
    <row r="780" spans="1:1">
      <c r="A780">
        <v>786</v>
      </c>
    </row>
    <row r="781" spans="1:1">
      <c r="A781">
        <v>787</v>
      </c>
    </row>
    <row r="782" spans="1:1">
      <c r="A782">
        <v>788</v>
      </c>
    </row>
    <row r="783" spans="1:1">
      <c r="A783">
        <v>789</v>
      </c>
    </row>
    <row r="784" spans="1:1">
      <c r="A784">
        <v>790</v>
      </c>
    </row>
    <row r="785" spans="1:1">
      <c r="A785">
        <v>791</v>
      </c>
    </row>
    <row r="786" spans="1:1">
      <c r="A786">
        <v>792</v>
      </c>
    </row>
    <row r="787" spans="1:1">
      <c r="A787">
        <v>793</v>
      </c>
    </row>
    <row r="788" spans="1:1">
      <c r="A788">
        <v>794</v>
      </c>
    </row>
    <row r="789" spans="1:1">
      <c r="A789">
        <v>795</v>
      </c>
    </row>
    <row r="790" spans="1:1">
      <c r="A790">
        <v>796</v>
      </c>
    </row>
    <row r="791" spans="1:1">
      <c r="A791">
        <v>797</v>
      </c>
    </row>
    <row r="792" spans="1:1">
      <c r="A792">
        <v>798</v>
      </c>
    </row>
    <row r="793" spans="1:1">
      <c r="A793">
        <v>799</v>
      </c>
    </row>
    <row r="794" spans="1:1">
      <c r="A794">
        <v>800</v>
      </c>
    </row>
    <row r="795" spans="1:1">
      <c r="A795">
        <v>801</v>
      </c>
    </row>
    <row r="796" spans="1:1">
      <c r="A796">
        <v>802</v>
      </c>
    </row>
    <row r="797" spans="1:1">
      <c r="A797">
        <v>803</v>
      </c>
    </row>
    <row r="798" spans="1:1">
      <c r="A798">
        <v>804</v>
      </c>
    </row>
    <row r="799" spans="1:1">
      <c r="A799">
        <v>805</v>
      </c>
    </row>
    <row r="800" spans="1:1">
      <c r="A800">
        <v>806</v>
      </c>
    </row>
    <row r="801" spans="1:1">
      <c r="A801">
        <v>807</v>
      </c>
    </row>
    <row r="802" spans="1:1">
      <c r="A802">
        <v>808</v>
      </c>
    </row>
    <row r="803" spans="1:1">
      <c r="A803">
        <v>809</v>
      </c>
    </row>
    <row r="804" spans="1:1">
      <c r="A804">
        <v>810</v>
      </c>
    </row>
    <row r="805" spans="1:1">
      <c r="A805">
        <v>811</v>
      </c>
    </row>
    <row r="806" spans="1:1">
      <c r="A806">
        <v>812</v>
      </c>
    </row>
    <row r="807" spans="1:1">
      <c r="A807">
        <v>813</v>
      </c>
    </row>
    <row r="808" spans="1:1">
      <c r="A808">
        <v>814</v>
      </c>
    </row>
    <row r="809" spans="1:1">
      <c r="A809">
        <v>815</v>
      </c>
    </row>
    <row r="810" spans="1:1">
      <c r="A810">
        <v>816</v>
      </c>
    </row>
    <row r="811" spans="1:1">
      <c r="A811">
        <v>817</v>
      </c>
    </row>
    <row r="812" spans="1:1">
      <c r="A812">
        <v>818</v>
      </c>
    </row>
    <row r="813" spans="1:1">
      <c r="A813">
        <v>819</v>
      </c>
    </row>
    <row r="814" spans="1:1">
      <c r="A814">
        <v>820</v>
      </c>
    </row>
    <row r="815" spans="1:1">
      <c r="A815">
        <v>821</v>
      </c>
    </row>
    <row r="816" spans="1:1">
      <c r="A816">
        <v>822</v>
      </c>
    </row>
    <row r="817" spans="1:1">
      <c r="A817">
        <v>823</v>
      </c>
    </row>
    <row r="818" spans="1:1">
      <c r="A818">
        <v>824</v>
      </c>
    </row>
    <row r="819" spans="1:1">
      <c r="A819">
        <v>825</v>
      </c>
    </row>
    <row r="820" spans="1:1">
      <c r="A820">
        <v>826</v>
      </c>
    </row>
    <row r="821" spans="1:1">
      <c r="A821">
        <v>827</v>
      </c>
    </row>
    <row r="822" spans="1:1">
      <c r="A822">
        <v>828</v>
      </c>
    </row>
    <row r="823" spans="1:1">
      <c r="A823">
        <v>829</v>
      </c>
    </row>
    <row r="824" spans="1:1">
      <c r="A824">
        <v>830</v>
      </c>
    </row>
    <row r="825" spans="1:1">
      <c r="A825">
        <v>831</v>
      </c>
    </row>
    <row r="826" spans="1:1">
      <c r="A826">
        <v>832</v>
      </c>
    </row>
    <row r="827" spans="1:1">
      <c r="A827">
        <v>833</v>
      </c>
    </row>
    <row r="828" spans="1:1">
      <c r="A828">
        <v>834</v>
      </c>
    </row>
    <row r="829" spans="1:1">
      <c r="A829">
        <v>835</v>
      </c>
    </row>
    <row r="830" spans="1:1">
      <c r="A830">
        <v>836</v>
      </c>
    </row>
    <row r="831" spans="1:1">
      <c r="A831">
        <v>837</v>
      </c>
    </row>
    <row r="832" spans="1:1">
      <c r="A832">
        <v>838</v>
      </c>
    </row>
    <row r="833" spans="1:1">
      <c r="A833">
        <v>839</v>
      </c>
    </row>
    <row r="834" spans="1:1">
      <c r="A834">
        <v>840</v>
      </c>
    </row>
    <row r="835" spans="1:1">
      <c r="A835">
        <v>841</v>
      </c>
    </row>
    <row r="836" spans="1:1">
      <c r="A836">
        <v>842</v>
      </c>
    </row>
    <row r="837" spans="1:1">
      <c r="A837">
        <v>843</v>
      </c>
    </row>
    <row r="838" spans="1:1">
      <c r="A838">
        <v>844</v>
      </c>
    </row>
    <row r="839" spans="1:1">
      <c r="A839">
        <v>845</v>
      </c>
    </row>
    <row r="840" spans="1:1">
      <c r="A840">
        <v>846</v>
      </c>
    </row>
    <row r="841" spans="1:1">
      <c r="A841">
        <v>847</v>
      </c>
    </row>
    <row r="842" spans="1:1">
      <c r="A842">
        <v>848</v>
      </c>
    </row>
    <row r="843" spans="1:1">
      <c r="A843">
        <v>849</v>
      </c>
    </row>
    <row r="844" spans="1:1">
      <c r="A844">
        <v>850</v>
      </c>
    </row>
    <row r="845" spans="1:1">
      <c r="A845">
        <v>851</v>
      </c>
    </row>
    <row r="846" spans="1:1">
      <c r="A846">
        <v>852</v>
      </c>
    </row>
    <row r="847" spans="1:1">
      <c r="A847">
        <v>853</v>
      </c>
    </row>
    <row r="848" spans="1:1">
      <c r="A848">
        <v>854</v>
      </c>
    </row>
    <row r="849" spans="1:1">
      <c r="A849">
        <v>855</v>
      </c>
    </row>
    <row r="850" spans="1:1">
      <c r="A850">
        <v>856</v>
      </c>
    </row>
    <row r="851" spans="1:1">
      <c r="A851">
        <v>857</v>
      </c>
    </row>
    <row r="852" spans="1:1">
      <c r="A852">
        <v>858</v>
      </c>
    </row>
    <row r="853" spans="1:1">
      <c r="A853">
        <v>859</v>
      </c>
    </row>
    <row r="854" spans="1:1">
      <c r="A854">
        <v>860</v>
      </c>
    </row>
    <row r="855" spans="1:1">
      <c r="A855">
        <v>861</v>
      </c>
    </row>
    <row r="856" spans="1:1">
      <c r="A856">
        <v>862</v>
      </c>
    </row>
    <row r="857" spans="1:1">
      <c r="A857">
        <v>863</v>
      </c>
    </row>
    <row r="858" spans="1:1">
      <c r="A858">
        <v>864</v>
      </c>
    </row>
    <row r="859" spans="1:1">
      <c r="A859">
        <v>865</v>
      </c>
    </row>
    <row r="860" spans="1:1">
      <c r="A860">
        <v>866</v>
      </c>
    </row>
    <row r="861" spans="1:1">
      <c r="A861">
        <v>867</v>
      </c>
    </row>
    <row r="862" spans="1:1">
      <c r="A862">
        <v>868</v>
      </c>
    </row>
    <row r="863" spans="1:1">
      <c r="A863">
        <v>869</v>
      </c>
    </row>
    <row r="864" spans="1:1">
      <c r="A864">
        <v>870</v>
      </c>
    </row>
    <row r="865" spans="1:1">
      <c r="A865">
        <v>871</v>
      </c>
    </row>
    <row r="866" spans="1:1">
      <c r="A866">
        <v>872</v>
      </c>
    </row>
    <row r="867" spans="1:1">
      <c r="A867">
        <v>873</v>
      </c>
    </row>
    <row r="868" spans="1:1">
      <c r="A868">
        <v>874</v>
      </c>
    </row>
    <row r="869" spans="1:1">
      <c r="A869">
        <v>875</v>
      </c>
    </row>
    <row r="870" spans="1:1">
      <c r="A870">
        <v>876</v>
      </c>
    </row>
    <row r="871" spans="1:1">
      <c r="A871">
        <v>877</v>
      </c>
    </row>
    <row r="872" spans="1:1">
      <c r="A872">
        <v>878</v>
      </c>
    </row>
    <row r="873" spans="1:1">
      <c r="A873">
        <v>879</v>
      </c>
    </row>
    <row r="874" spans="1:1">
      <c r="A874">
        <v>880</v>
      </c>
    </row>
    <row r="875" spans="1:1">
      <c r="A875">
        <v>881</v>
      </c>
    </row>
    <row r="876" spans="1:1">
      <c r="A876">
        <v>882</v>
      </c>
    </row>
    <row r="877" spans="1:1">
      <c r="A877">
        <v>883</v>
      </c>
    </row>
    <row r="878" spans="1:1">
      <c r="A878">
        <v>884</v>
      </c>
    </row>
    <row r="879" spans="1:1">
      <c r="A879">
        <v>885</v>
      </c>
    </row>
    <row r="880" spans="1:1">
      <c r="A880">
        <v>886</v>
      </c>
    </row>
    <row r="881" spans="1:1">
      <c r="A881">
        <v>887</v>
      </c>
    </row>
    <row r="882" spans="1:1">
      <c r="A882">
        <v>888</v>
      </c>
    </row>
    <row r="883" spans="1:1">
      <c r="A883">
        <v>889</v>
      </c>
    </row>
    <row r="884" spans="1:1">
      <c r="A884">
        <v>890</v>
      </c>
    </row>
    <row r="885" spans="1:1">
      <c r="A885">
        <v>891</v>
      </c>
    </row>
    <row r="886" spans="1:1">
      <c r="A886">
        <v>892</v>
      </c>
    </row>
    <row r="887" spans="1:1">
      <c r="A887">
        <v>893</v>
      </c>
    </row>
    <row r="888" spans="1:1">
      <c r="A888">
        <v>894</v>
      </c>
    </row>
    <row r="889" spans="1:1">
      <c r="A889">
        <v>895</v>
      </c>
    </row>
    <row r="890" spans="1:1">
      <c r="A890">
        <v>896</v>
      </c>
    </row>
    <row r="891" spans="1:1">
      <c r="A891">
        <v>897</v>
      </c>
    </row>
    <row r="892" spans="1:1">
      <c r="A892">
        <v>898</v>
      </c>
    </row>
    <row r="893" spans="1:1">
      <c r="A893">
        <v>899</v>
      </c>
    </row>
    <row r="894" spans="1:1">
      <c r="A894">
        <v>900</v>
      </c>
    </row>
    <row r="895" spans="1:1">
      <c r="A895">
        <v>901</v>
      </c>
    </row>
    <row r="896" spans="1:1">
      <c r="A896">
        <v>902</v>
      </c>
    </row>
    <row r="897" spans="1:1">
      <c r="A897">
        <v>903</v>
      </c>
    </row>
    <row r="898" spans="1:1">
      <c r="A898">
        <v>904</v>
      </c>
    </row>
    <row r="899" spans="1:1">
      <c r="A899">
        <v>905</v>
      </c>
    </row>
    <row r="900" spans="1:1">
      <c r="A900">
        <v>906</v>
      </c>
    </row>
    <row r="901" spans="1:1">
      <c r="A901">
        <v>907</v>
      </c>
    </row>
    <row r="902" spans="1:1">
      <c r="A902">
        <v>908</v>
      </c>
    </row>
    <row r="903" spans="1:1">
      <c r="A903">
        <v>909</v>
      </c>
    </row>
    <row r="904" spans="1:1">
      <c r="A904">
        <v>910</v>
      </c>
    </row>
    <row r="905" spans="1:1">
      <c r="A905">
        <v>911</v>
      </c>
    </row>
    <row r="906" spans="1:1">
      <c r="A906">
        <v>912</v>
      </c>
    </row>
    <row r="907" spans="1:1">
      <c r="A907">
        <v>913</v>
      </c>
    </row>
    <row r="908" spans="1:1">
      <c r="A908">
        <v>914</v>
      </c>
    </row>
    <row r="909" spans="1:1">
      <c r="A909">
        <v>915</v>
      </c>
    </row>
    <row r="910" spans="1:1">
      <c r="A910">
        <v>916</v>
      </c>
    </row>
    <row r="911" spans="1:1">
      <c r="A911">
        <v>917</v>
      </c>
    </row>
    <row r="912" spans="1:1">
      <c r="A912">
        <v>918</v>
      </c>
    </row>
    <row r="913" spans="1:1">
      <c r="A913">
        <v>919</v>
      </c>
    </row>
    <row r="914" spans="1:1">
      <c r="A914">
        <v>920</v>
      </c>
    </row>
    <row r="915" spans="1:1">
      <c r="A915">
        <v>921</v>
      </c>
    </row>
    <row r="916" spans="1:1">
      <c r="A916">
        <v>922</v>
      </c>
    </row>
    <row r="917" spans="1:1">
      <c r="A917">
        <v>923</v>
      </c>
    </row>
    <row r="918" spans="1:1">
      <c r="A918">
        <v>924</v>
      </c>
    </row>
    <row r="919" spans="1:1">
      <c r="A919">
        <v>925</v>
      </c>
    </row>
    <row r="920" spans="1:1">
      <c r="A920">
        <v>926</v>
      </c>
    </row>
    <row r="921" spans="1:1">
      <c r="A921">
        <v>927</v>
      </c>
    </row>
    <row r="922" spans="1:1">
      <c r="A922">
        <v>928</v>
      </c>
    </row>
    <row r="923" spans="1:1">
      <c r="A923">
        <v>929</v>
      </c>
    </row>
    <row r="924" spans="1:1">
      <c r="A924">
        <v>930</v>
      </c>
    </row>
    <row r="925" spans="1:1">
      <c r="A925">
        <v>931</v>
      </c>
    </row>
    <row r="926" spans="1:1">
      <c r="A926">
        <v>932</v>
      </c>
    </row>
    <row r="927" spans="1:1">
      <c r="A927">
        <v>933</v>
      </c>
    </row>
    <row r="928" spans="1:1">
      <c r="A928">
        <v>934</v>
      </c>
    </row>
    <row r="929" spans="1:1">
      <c r="A929">
        <v>935</v>
      </c>
    </row>
    <row r="930" spans="1:1">
      <c r="A930">
        <v>936</v>
      </c>
    </row>
    <row r="931" spans="1:1">
      <c r="A931">
        <v>937</v>
      </c>
    </row>
    <row r="932" spans="1:1">
      <c r="A932">
        <v>938</v>
      </c>
    </row>
    <row r="933" spans="1:1">
      <c r="A933">
        <v>939</v>
      </c>
    </row>
    <row r="934" spans="1:1">
      <c r="A934">
        <v>940</v>
      </c>
    </row>
    <row r="935" spans="1:1">
      <c r="A935">
        <v>941</v>
      </c>
    </row>
    <row r="936" spans="1:1">
      <c r="A936">
        <v>942</v>
      </c>
    </row>
    <row r="937" spans="1:1">
      <c r="A937">
        <v>943</v>
      </c>
    </row>
    <row r="938" spans="1:1">
      <c r="A938">
        <v>944</v>
      </c>
    </row>
    <row r="939" spans="1:1">
      <c r="A939">
        <v>945</v>
      </c>
    </row>
    <row r="940" spans="1:1">
      <c r="A940">
        <v>946</v>
      </c>
    </row>
    <row r="941" spans="1:1">
      <c r="A941">
        <v>947</v>
      </c>
    </row>
    <row r="942" spans="1:1">
      <c r="A942">
        <v>948</v>
      </c>
    </row>
    <row r="943" spans="1:1">
      <c r="A943">
        <v>949</v>
      </c>
    </row>
    <row r="944" spans="1:1">
      <c r="A944">
        <v>950</v>
      </c>
    </row>
    <row r="945" spans="1:1">
      <c r="A945">
        <v>951</v>
      </c>
    </row>
    <row r="946" spans="1:1">
      <c r="A946">
        <v>952</v>
      </c>
    </row>
    <row r="947" spans="1:1">
      <c r="A947">
        <v>953</v>
      </c>
    </row>
    <row r="948" spans="1:1">
      <c r="A948">
        <v>954</v>
      </c>
    </row>
    <row r="949" spans="1:1">
      <c r="A949">
        <v>955</v>
      </c>
    </row>
    <row r="950" spans="1:1">
      <c r="A950">
        <v>956</v>
      </c>
    </row>
    <row r="951" spans="1:1">
      <c r="A951">
        <v>957</v>
      </c>
    </row>
    <row r="952" spans="1:1">
      <c r="A952">
        <v>958</v>
      </c>
    </row>
    <row r="953" spans="1:1">
      <c r="A953">
        <v>959</v>
      </c>
    </row>
    <row r="954" spans="1:1">
      <c r="A954">
        <v>960</v>
      </c>
    </row>
    <row r="955" spans="1:1">
      <c r="A955">
        <v>961</v>
      </c>
    </row>
    <row r="956" spans="1:1">
      <c r="A956">
        <v>962</v>
      </c>
    </row>
    <row r="957" spans="1:1">
      <c r="A957">
        <v>963</v>
      </c>
    </row>
    <row r="958" spans="1:1">
      <c r="A958">
        <v>964</v>
      </c>
    </row>
    <row r="959" spans="1:1">
      <c r="A959">
        <v>965</v>
      </c>
    </row>
    <row r="960" spans="1:1">
      <c r="A960">
        <v>966</v>
      </c>
    </row>
    <row r="961" spans="1:1">
      <c r="A961">
        <v>967</v>
      </c>
    </row>
    <row r="962" spans="1:1">
      <c r="A962">
        <v>968</v>
      </c>
    </row>
    <row r="963" spans="1:1">
      <c r="A963">
        <v>969</v>
      </c>
    </row>
    <row r="964" spans="1:1">
      <c r="A964">
        <v>970</v>
      </c>
    </row>
    <row r="965" spans="1:1">
      <c r="A965">
        <v>971</v>
      </c>
    </row>
    <row r="966" spans="1:1">
      <c r="A966">
        <v>972</v>
      </c>
    </row>
    <row r="967" spans="1:1">
      <c r="A967">
        <v>973</v>
      </c>
    </row>
    <row r="968" spans="1:1">
      <c r="A968">
        <v>974</v>
      </c>
    </row>
    <row r="969" spans="1:1">
      <c r="A969">
        <v>975</v>
      </c>
    </row>
    <row r="970" spans="1:1">
      <c r="A970">
        <v>976</v>
      </c>
    </row>
    <row r="971" spans="1:1">
      <c r="A971">
        <v>977</v>
      </c>
    </row>
    <row r="972" spans="1:1">
      <c r="A972">
        <v>978</v>
      </c>
    </row>
    <row r="973" spans="1:1">
      <c r="A973">
        <v>979</v>
      </c>
    </row>
    <row r="974" spans="1:1">
      <c r="A974">
        <v>980</v>
      </c>
    </row>
    <row r="975" spans="1:1">
      <c r="A975">
        <v>981</v>
      </c>
    </row>
    <row r="976" spans="1:1">
      <c r="A976">
        <v>982</v>
      </c>
    </row>
    <row r="977" spans="1:1">
      <c r="A977">
        <v>983</v>
      </c>
    </row>
    <row r="978" spans="1:1">
      <c r="A978">
        <v>984</v>
      </c>
    </row>
    <row r="979" spans="1:1">
      <c r="A979">
        <v>985</v>
      </c>
    </row>
    <row r="980" spans="1:1">
      <c r="A980">
        <v>986</v>
      </c>
    </row>
    <row r="981" spans="1:1">
      <c r="A981">
        <v>987</v>
      </c>
    </row>
    <row r="982" spans="1:1">
      <c r="A982">
        <v>988</v>
      </c>
    </row>
    <row r="983" spans="1:1">
      <c r="A983">
        <v>989</v>
      </c>
    </row>
    <row r="984" spans="1:1">
      <c r="A984">
        <v>990</v>
      </c>
    </row>
    <row r="985" spans="1:1">
      <c r="A985">
        <v>991</v>
      </c>
    </row>
    <row r="986" spans="1:1">
      <c r="A986">
        <v>992</v>
      </c>
    </row>
    <row r="987" spans="1:1">
      <c r="A987">
        <v>993</v>
      </c>
    </row>
    <row r="988" spans="1:1">
      <c r="A988">
        <v>994</v>
      </c>
    </row>
    <row r="989" spans="1:1">
      <c r="A989">
        <v>995</v>
      </c>
    </row>
    <row r="990" spans="1:1">
      <c r="A990">
        <v>996</v>
      </c>
    </row>
    <row r="991" spans="1:1">
      <c r="A991">
        <v>997</v>
      </c>
    </row>
    <row r="992" spans="1:1">
      <c r="A992">
        <v>998</v>
      </c>
    </row>
    <row r="993" spans="1:1">
      <c r="A993">
        <v>999</v>
      </c>
    </row>
    <row r="994" spans="1:1">
      <c r="A994">
        <v>1000</v>
      </c>
    </row>
  </sheetData>
  <phoneticPr fontId="1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ReadMe</vt:lpstr>
      <vt:lpstr>User Interface</vt:lpstr>
      <vt:lpstr>Calculations</vt:lpstr>
      <vt:lpstr>FINEX</vt:lpstr>
      <vt:lpstr>Options</vt:lpstr>
      <vt:lpstr>IRR</vt:lpstr>
      <vt:lpstr>Price</vt:lpstr>
      <vt:lpstr>FINEX!Print_Area</vt:lpstr>
      <vt:lpstr>FINEX!Print_Titles</vt:lpstr>
      <vt:lpstr>Target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Myers, Corey Adam</dc:creator>
  <cp:lastModifiedBy>Myers, Corey Adam</cp:lastModifiedBy>
  <cp:lastPrinted>2022-12-14T18:44:03Z</cp:lastPrinted>
  <dcterms:created xsi:type="dcterms:W3CDTF">2022-06-10T23:56:48Z</dcterms:created>
  <dcterms:modified xsi:type="dcterms:W3CDTF">2024-08-02T17:07:03Z</dcterms:modified>
</cp:coreProperties>
</file>